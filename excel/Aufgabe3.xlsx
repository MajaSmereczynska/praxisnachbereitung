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081b24ab8d0846/Dokumenty/HKA/"/>
    </mc:Choice>
  </mc:AlternateContent>
  <xr:revisionPtr revIDLastSave="45" documentId="8_{CDCE6390-D6A1-4BCE-A2F6-DF1EA1CC862D}" xr6:coauthVersionLast="47" xr6:coauthVersionMax="47" xr10:uidLastSave="{A591A342-5CD1-47DC-9924-E8B7E5F19754}"/>
  <bookViews>
    <workbookView xWindow="-108" yWindow="-108" windowWidth="23256" windowHeight="12456" firstSheet="1" activeTab="9" xr2:uid="{1D7DDEF7-671D-471C-BBB1-7EABC49FDADD}"/>
  </bookViews>
  <sheets>
    <sheet name="Mitarbeiter" sheetId="2" r:id="rId1"/>
    <sheet name="Geraete" sheetId="3" r:id="rId2"/>
    <sheet name="Ausleihen" sheetId="4" r:id="rId3"/>
    <sheet name="A3a" sheetId="6" r:id="rId4"/>
    <sheet name="A3b" sheetId="7" r:id="rId5"/>
    <sheet name="A3c" sheetId="8" r:id="rId6"/>
    <sheet name="A4a" sheetId="9" r:id="rId7"/>
    <sheet name="A4b" sheetId="12" r:id="rId8"/>
    <sheet name="A4c" sheetId="10" r:id="rId9"/>
    <sheet name="A4d" sheetId="11" r:id="rId10"/>
  </sheets>
  <definedNames>
    <definedName name="ExternalData_1" localSheetId="3" hidden="1">A3a!$A$1:$I$58</definedName>
    <definedName name="ExternalData_1" localSheetId="4" hidden="1">A3b!$A$1:$G$46</definedName>
    <definedName name="ExternalData_1" localSheetId="5" hidden="1">A3c!$A$1:$L$58</definedName>
    <definedName name="ExternalData_1" localSheetId="2" hidden="1">Ausleihen!$A$1:$D$46</definedName>
    <definedName name="ExternalData_1" localSheetId="1" hidden="1">Geraete!$A$1:$F$36</definedName>
    <definedName name="ExternalData_1" localSheetId="0" hidden="1">Mitarbeiter!$A$1:$D$13</definedName>
    <definedName name="ExternalData_2" localSheetId="7" hidden="1">A4b!$A$1:$L$13</definedName>
  </definedNames>
  <calcPr calcId="191029"/>
  <pivotCaches>
    <pivotCache cacheId="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8" l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6F5A21-ACB9-465B-898E-8F5FDDDE0CE2}" keepAlive="1" name="Query - Ausleihen" description="Connection to the 'Ausleihen' query in the workbook." type="5" refreshedVersion="8" background="1" saveData="1">
    <dbPr connection="Provider=Microsoft.Mashup.OleDb.1;Data Source=$Workbook$;Location=Ausleihen;Extended Properties=&quot;&quot;" command="SELECT * FROM [Ausleihen]"/>
  </connection>
  <connection id="2" xr16:uid="{A157709F-9968-46D8-A842-BACC6158A405}" keepAlive="1" name="Query - Geraete" description="Connection to the 'Geraete' query in the workbook." type="5" refreshedVersion="8" background="1" saveData="1">
    <dbPr connection="Provider=Microsoft.Mashup.OleDb.1;Data Source=$Workbook$;Location=Geraete;Extended Properties=&quot;&quot;" command="SELECT * FROM [Geraete]"/>
  </connection>
  <connection id="3" xr16:uid="{61DA6AF1-E0A3-4A70-BD51-9A427C424A29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4" xr16:uid="{49226A46-E39A-4382-99B8-927518419C6B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5" xr16:uid="{53642D6F-4269-4C06-91B2-19AF97B602A1}" keepAlive="1" name="Query - Merge3" description="Connection to the 'Merge3' query in the workbook." type="5" refreshedVersion="8" background="1" saveData="1">
    <dbPr connection="Provider=Microsoft.Mashup.OleDb.1;Data Source=$Workbook$;Location=Merge3;Extended Properties=&quot;&quot;" command="SELECT * FROM [Merge3]"/>
  </connection>
  <connection id="6" xr16:uid="{3F2AAFB9-3B16-40EE-A791-3312910C3A8D}" keepAlive="1" name="Query - Merge3 (2)" description="Connection to the 'Merge3 (2)' query in the workbook." type="5" refreshedVersion="8" background="1" saveData="1">
    <dbPr connection="Provider=Microsoft.Mashup.OleDb.1;Data Source=$Workbook$;Location=&quot;Merge3 (2)&quot;;Extended Properties=&quot;&quot;" command="SELECT * FROM [Merge3 (2)]"/>
  </connection>
  <connection id="7" xr16:uid="{6F8FE414-523E-43C4-AF07-6045FF30DCD9}" keepAlive="1" name="Query - Mitarbeiter" description="Connection to the 'Mitarbeiter' query in the workbook.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<sst xmlns="http://schemas.openxmlformats.org/spreadsheetml/2006/main" count="1152" uniqueCount="95">
  <si>
    <t>Mitarbeiter-ID</t>
  </si>
  <si>
    <t>Name</t>
  </si>
  <si>
    <t>Abteilung</t>
  </si>
  <si>
    <t>Standort</t>
  </si>
  <si>
    <t>Aleksandr Weinhage</t>
  </si>
  <si>
    <t>IT</t>
  </si>
  <si>
    <t>Berlin</t>
  </si>
  <si>
    <t>Eleni Hauffer</t>
  </si>
  <si>
    <t>Paul Dobes-Stiffel</t>
  </si>
  <si>
    <t>Produktion</t>
  </si>
  <si>
    <t>Hamburg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</si>
  <si>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</si>
  <si>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</si>
  <si>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</si>
  <si>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</si>
  <si>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</si>
  <si>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</si>
  <si>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</si>
  <si>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</si>
  <si>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</si>
  <si>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</si>
  <si>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</si>
  <si>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München</t>
  </si>
  <si>
    <t>Gerätenummer</t>
  </si>
  <si>
    <t>Gerätetyp</t>
  </si>
  <si>
    <t>Modell</t>
  </si>
  <si>
    <t>Kaufdatum</t>
  </si>
  <si>
    <t>Netto-Kaufpreis</t>
  </si>
  <si>
    <t>G0001</t>
  </si>
  <si>
    <t>Tablet</t>
  </si>
  <si>
    <t>Galaxy Tab</t>
  </si>
  <si>
    <t>G0002</t>
  </si>
  <si>
    <t>Surface Go</t>
  </si>
  <si>
    <t>G0003</t>
  </si>
  <si>
    <t>iPad</t>
  </si>
  <si>
    <t>G0004</t>
  </si>
  <si>
    <t>Laptop</t>
  </si>
  <si>
    <t>Dell XPS</t>
  </si>
  <si>
    <t>G0005</t>
  </si>
  <si>
    <t>Drucker</t>
  </si>
  <si>
    <t>Canon Pixma</t>
  </si>
  <si>
    <t>G0006</t>
  </si>
  <si>
    <t>Smartphone</t>
  </si>
  <si>
    <t>Samsung S21</t>
  </si>
  <si>
    <t>G0007</t>
  </si>
  <si>
    <t>Lenovo ThinkPad</t>
  </si>
  <si>
    <t>G0008</t>
  </si>
  <si>
    <t>Beamer</t>
  </si>
  <si>
    <t>Epson EB</t>
  </si>
  <si>
    <t>G0009</t>
  </si>
  <si>
    <t>G0010</t>
  </si>
  <si>
    <t>G0011</t>
  </si>
  <si>
    <t>Brother HL</t>
  </si>
  <si>
    <t>G0012</t>
  </si>
  <si>
    <t>G0013</t>
  </si>
  <si>
    <t>G0014</t>
  </si>
  <si>
    <t>G0015</t>
  </si>
  <si>
    <t>iPhone 13</t>
  </si>
  <si>
    <t>G0016</t>
  </si>
  <si>
    <t>G0017</t>
  </si>
  <si>
    <t>G0018</t>
  </si>
  <si>
    <t>G0019</t>
  </si>
  <si>
    <t>HP LaserJet</t>
  </si>
  <si>
    <t>G0020</t>
  </si>
  <si>
    <t>G0021</t>
  </si>
  <si>
    <t>Monitor</t>
  </si>
  <si>
    <t>Samsung Curved</t>
  </si>
  <si>
    <t>G0022</t>
  </si>
  <si>
    <t>G0023</t>
  </si>
  <si>
    <t>G0024</t>
  </si>
  <si>
    <t>Dell UltraSharp</t>
  </si>
  <si>
    <t>G0025</t>
  </si>
  <si>
    <t>G0026</t>
  </si>
  <si>
    <t>G0027</t>
  </si>
  <si>
    <t>G0028</t>
  </si>
  <si>
    <t>G0029</t>
  </si>
  <si>
    <t>G0030</t>
  </si>
  <si>
    <t>G0031</t>
  </si>
  <si>
    <t>HP EliteBook</t>
  </si>
  <si>
    <t>G0032</t>
  </si>
  <si>
    <t>G0033</t>
  </si>
  <si>
    <t>BenQ MW550</t>
  </si>
  <si>
    <t>G0034</t>
  </si>
  <si>
    <t>G0035</t>
  </si>
  <si>
    <t>Ausgabe am</t>
  </si>
  <si>
    <t>Rückgabe am</t>
  </si>
  <si>
    <t>Standort.1</t>
  </si>
  <si>
    <t>Prices</t>
  </si>
  <si>
    <t>PriceSum</t>
  </si>
  <si>
    <t>Sum of Netto-Kaufpreis</t>
  </si>
  <si>
    <t>(Multiple Items)</t>
  </si>
  <si>
    <t>Row Labels</t>
  </si>
  <si>
    <t>Grand Total</t>
  </si>
  <si>
    <t>Anzahl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</si>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</sst>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[Aufgabe3.xlsx]A4c!PivotTable2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A4c!$B$3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A4c!$A$4:$A$10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A4c!$B$4:$B$10</c:f>
              <c:numCache>
                <c:formatCode>General</c:formatCode>
                <c:ptCount val="6"/>
                <c:pt idx="0">
                  <c:v>13</c:v>
                </c:pt>
                <c:pt idx="1">
                  <c:v>14</c:v>
                </c:pt>
                <c:pt idx="2">
                  <c:v>12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4-43AD-A821-50481A629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[Aufgabe3.xlsx]A4d!PivotTable3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A4d!$B$3:$B$4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A4d!$A$5:$A$11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A4d!$B$5:$B$11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7-4CDC-999D-0ABB188EF429}"/>
            </c:ext>
          </c:extLst>
        </c:ser>
        <c:ser>
          <c:idx val="1"/>
          <c:order val="1"/>
          <c:tx>
            <c:strRef>
              <c:f>A4d!$C$3:$C$4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A4d!$A$5:$A$11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A4d!$C$5:$C$11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7-4CDC-999D-0ABB188EF429}"/>
            </c:ext>
          </c:extLst>
        </c:ser>
        <c:ser>
          <c:idx val="2"/>
          <c:order val="2"/>
          <c:tx>
            <c:strRef>
              <c:f>A4d!$D$3:$D$4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A4d!$A$5:$A$11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A4d!$D$5:$D$11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7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7-4CDC-999D-0ABB188EF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714911"/>
        <c:axId val="1542715391"/>
      </c:barChart>
      <c:catAx>
        <c:axId val="154271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715391"/>
        <c:crosses val="autoZero"/>
        <c:auto val="1"/>
        <c:lblAlgn val="ctr"/>
        <c:lblOffset val="100"/>
        <c:noMultiLvlLbl val="0"/>
      </c:catAx>
      <c:valAx>
        <c:axId val="15427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71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1</xdr:row>
      <xdr:rowOff>91440</xdr:rowOff>
    </xdr:from>
    <xdr:to>
      <xdr:col>10</xdr:col>
      <xdr:colOff>601980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99297D-BF38-DE82-3754-81F6B14C1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3</xdr:row>
      <xdr:rowOff>0</xdr:rowOff>
    </xdr:from>
    <xdr:to>
      <xdr:col>14</xdr:col>
      <xdr:colOff>106680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AFCF3-B5E0-710A-47C7-514D6DF39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ja Smereczyńska" refreshedDate="45969.623148842591" createdVersion="8" refreshedVersion="8" minRefreshableVersion="3" recordCount="57" xr:uid="{A04BCAC3-48C2-44F3-B9E8-A7A18DB9FB2D}">
  <cacheSource type="worksheet">
    <worksheetSource name="Merge3"/>
  </cacheSource>
  <cacheFields count="12">
    <cacheField name="Gerätenummer" numFmtId="0">
      <sharedItems/>
    </cacheField>
    <cacheField name="Gerätetyp" numFmtId="0">
      <sharedItems count="6">
        <s v="Beamer"/>
        <s v="Drucker"/>
        <s v="Laptop"/>
        <s v="Monitor"/>
        <s v="Smartphone"/>
        <s v="Tablet"/>
      </sharedItems>
    </cacheField>
    <cacheField name="Modell" numFmtId="0">
      <sharedItems/>
    </cacheField>
    <cacheField name="Kaufdatum" numFmtId="14">
      <sharedItems containsSemiMixedTypes="0" containsNonDate="0" containsDate="1" containsString="0" minDate="2021-02-23T00:00:00" maxDate="2025-09-10T00:00:00"/>
    </cacheField>
    <cacheField name="Netto-Kaufpreis" numFmtId="0">
      <sharedItems containsSemiMixedTypes="0" containsString="0" containsNumber="1" minValue="501.64" maxValue="1931.54"/>
    </cacheField>
    <cacheField name="Standort" numFmtId="0">
      <sharedItems count="3">
        <s v="Berlin"/>
        <s v="München"/>
        <s v="Hamburg"/>
      </sharedItems>
    </cacheField>
    <cacheField name="Mitarbeiter-ID" numFmtId="0">
      <sharedItems containsString="0" containsBlank="1" containsNumber="1" containsInteger="1" minValue="1001" maxValue="1012"/>
    </cacheField>
    <cacheField name="Ausgabe am" numFmtId="14">
      <sharedItems containsNonDate="0" containsDate="1" containsString="0" containsBlank="1" minDate="2023-12-01T00:00:00" maxDate="2025-10-01T00:00:00"/>
    </cacheField>
    <cacheField name="Rückgabe am" numFmtId="14">
      <sharedItems containsNonDate="0" containsDate="1" containsString="0" containsBlank="1" minDate="2024-06-27T00:00:00" maxDate="2025-10-06T00:00:00" count="30">
        <m/>
        <d v="2025-09-08T00:00:00"/>
        <d v="2025-06-09T00:00:00"/>
        <d v="2025-05-31T00:00:00"/>
        <d v="2025-10-05T00:00:00"/>
        <d v="2025-07-30T00:00:00"/>
        <d v="2025-09-22T00:00:00"/>
        <d v="2025-06-10T00:00:00"/>
        <d v="2025-07-16T00:00:00"/>
        <d v="2025-07-15T00:00:00"/>
        <d v="2025-08-29T00:00:00"/>
        <d v="2025-03-16T00:00:00"/>
        <d v="2024-12-04T00:00:00"/>
        <d v="2024-06-27T00:00:00"/>
        <d v="2025-02-26T00:00:00"/>
        <d v="2025-10-04T00:00:00"/>
        <d v="2025-08-17T00:00:00"/>
        <d v="2025-09-30T00:00:00"/>
        <d v="2025-01-06T00:00:00"/>
        <d v="2024-11-27T00:00:00"/>
        <d v="2025-07-01T00:00:00"/>
        <d v="2025-09-05T00:00:00"/>
        <d v="2024-09-24T00:00:00"/>
        <d v="2025-08-02T00:00:00"/>
        <d v="2025-03-03T00:00:00"/>
        <d v="2025-08-12T00:00:00"/>
        <d v="2025-05-07T00:00:00"/>
        <d v="2025-09-25T00:00:00"/>
        <d v="2025-07-08T00:00:00"/>
        <d v="2025-10-02T00:00:00"/>
      </sharedItems>
    </cacheField>
    <cacheField name="Name" numFmtId="0">
      <sharedItems containsBlank="1"/>
    </cacheField>
    <cacheField name="Abteilung" numFmtId="0">
      <sharedItems containsBlank="1"/>
    </cacheField>
    <cacheField name="Standort.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G0035"/>
    <x v="0"/>
    <s v="BenQ MW550"/>
    <d v="2024-01-03T00:00:00"/>
    <n v="644.54"/>
    <x v="0"/>
    <n v="1009"/>
    <d v="2024-05-09T00:00:00"/>
    <x v="0"/>
    <s v="Univ.Prof. Heimo Karge"/>
    <s v="Marketing"/>
    <s v="Hamburg"/>
  </r>
  <r>
    <s v="G0005"/>
    <x v="1"/>
    <s v="Canon Pixma"/>
    <d v="2021-11-03T00:00:00"/>
    <n v="823.23"/>
    <x v="0"/>
    <n v="1009"/>
    <d v="2024-04-07T00:00:00"/>
    <x v="0"/>
    <s v="Univ.Prof. Heimo Karge"/>
    <s v="Marketing"/>
    <s v="Hamburg"/>
  </r>
  <r>
    <s v="G0035"/>
    <x v="0"/>
    <s v="BenQ MW550"/>
    <d v="2024-01-03T00:00:00"/>
    <n v="644.54"/>
    <x v="0"/>
    <n v="1001"/>
    <d v="2024-01-06T00:00:00"/>
    <x v="0"/>
    <s v="Aleksandr Weinhage"/>
    <s v="IT"/>
    <s v="Berlin"/>
  </r>
  <r>
    <s v="G0035"/>
    <x v="0"/>
    <s v="BenQ MW550"/>
    <d v="2024-01-03T00:00:00"/>
    <n v="644.54"/>
    <x v="0"/>
    <n v="1003"/>
    <d v="2024-05-05T00:00:00"/>
    <x v="0"/>
    <s v="Paul Dobes-Stiffel"/>
    <s v="Produktion"/>
    <s v="Hamburg"/>
  </r>
  <r>
    <s v="G0004"/>
    <x v="2"/>
    <s v="Dell XPS"/>
    <d v="2025-05-05T00:00:00"/>
    <n v="1007.88"/>
    <x v="1"/>
    <n v="1003"/>
    <d v="2025-06-19T00:00:00"/>
    <x v="1"/>
    <s v="Paul Dobes-Stiffel"/>
    <s v="Produktion"/>
    <s v="Hamburg"/>
  </r>
  <r>
    <s v="G0016"/>
    <x v="1"/>
    <s v="Canon Pixma"/>
    <d v="2023-03-30T00:00:00"/>
    <n v="1501.06"/>
    <x v="0"/>
    <n v="1003"/>
    <d v="2024-02-08T00:00:00"/>
    <x v="2"/>
    <s v="Paul Dobes-Stiffel"/>
    <s v="Produktion"/>
    <s v="Hamburg"/>
  </r>
  <r>
    <s v="G0016"/>
    <x v="1"/>
    <s v="Canon Pixma"/>
    <d v="2023-03-30T00:00:00"/>
    <n v="1501.06"/>
    <x v="0"/>
    <n v="1002"/>
    <d v="2025-05-22T00:00:00"/>
    <x v="3"/>
    <s v="Eleni Hauffer"/>
    <s v="IT"/>
    <s v="Berlin"/>
  </r>
  <r>
    <s v="G0021"/>
    <x v="3"/>
    <s v="Samsung Curved"/>
    <d v="2023-02-22T00:00:00"/>
    <n v="1134.1600000000001"/>
    <x v="1"/>
    <n v="1008"/>
    <d v="2025-09-30T00:00:00"/>
    <x v="4"/>
    <s v="Dipl.-Ing. Klaus-Werner Holsten B.Sc."/>
    <s v="IT"/>
    <s v="Hamburg"/>
  </r>
  <r>
    <s v="G0024"/>
    <x v="3"/>
    <s v="Dell UltraSharp"/>
    <d v="2022-03-01T00:00:00"/>
    <n v="750.91"/>
    <x v="0"/>
    <n v="1008"/>
    <d v="2024-03-24T00:00:00"/>
    <x v="0"/>
    <s v="Dipl.-Ing. Klaus-Werner Holsten B.Sc."/>
    <s v="IT"/>
    <s v="Hamburg"/>
  </r>
  <r>
    <s v="G0024"/>
    <x v="3"/>
    <s v="Dell UltraSharp"/>
    <d v="2022-03-01T00:00:00"/>
    <n v="750.91"/>
    <x v="0"/>
    <n v="1005"/>
    <d v="2025-03-27T00:00:00"/>
    <x v="5"/>
    <s v="Alexandre Davids"/>
    <s v="Vertrieb"/>
    <s v="Berlin"/>
  </r>
  <r>
    <s v="G0005"/>
    <x v="1"/>
    <s v="Canon Pixma"/>
    <d v="2021-11-03T00:00:00"/>
    <n v="823.23"/>
    <x v="0"/>
    <n v="1006"/>
    <d v="2025-08-23T00:00:00"/>
    <x v="6"/>
    <s v="Eric Patberg B.Sc."/>
    <s v="Vertrieb"/>
    <s v="Hamburg"/>
  </r>
  <r>
    <s v="G0016"/>
    <x v="1"/>
    <s v="Canon Pixma"/>
    <d v="2023-03-30T00:00:00"/>
    <n v="1501.06"/>
    <x v="0"/>
    <n v="1010"/>
    <d v="2025-07-28T00:00:00"/>
    <x v="0"/>
    <s v="Carolin Hande"/>
    <s v="IT"/>
    <s v="Hamburg"/>
  </r>
  <r>
    <s v="G0005"/>
    <x v="1"/>
    <s v="Canon Pixma"/>
    <d v="2021-11-03T00:00:00"/>
    <n v="823.23"/>
    <x v="0"/>
    <n v="1012"/>
    <d v="2024-11-03T00:00:00"/>
    <x v="0"/>
    <s v="Ariane Klemt-Kaul"/>
    <s v="IT"/>
    <s v="München"/>
  </r>
  <r>
    <s v="G0006"/>
    <x v="4"/>
    <s v="Samsung S21"/>
    <d v="2024-01-01T00:00:00"/>
    <n v="1257.96"/>
    <x v="1"/>
    <n v="1012"/>
    <d v="2025-05-31T00:00:00"/>
    <x v="7"/>
    <s v="Ariane Klemt-Kaul"/>
    <s v="IT"/>
    <s v="München"/>
  </r>
  <r>
    <s v="G0007"/>
    <x v="2"/>
    <s v="Lenovo ThinkPad"/>
    <d v="2021-06-13T00:00:00"/>
    <n v="869.09"/>
    <x v="2"/>
    <n v="1001"/>
    <d v="2024-09-09T00:00:00"/>
    <x v="8"/>
    <s v="Aleksandr Weinhage"/>
    <s v="IT"/>
    <s v="Berlin"/>
  </r>
  <r>
    <s v="G0007"/>
    <x v="2"/>
    <s v="Lenovo ThinkPad"/>
    <d v="2021-06-13T00:00:00"/>
    <n v="869.09"/>
    <x v="2"/>
    <n v="1001"/>
    <d v="2025-08-11T00:00:00"/>
    <x v="0"/>
    <s v="Aleksandr Weinhage"/>
    <s v="IT"/>
    <s v="Berlin"/>
  </r>
  <r>
    <s v="G0009"/>
    <x v="2"/>
    <s v="Dell XPS"/>
    <d v="2023-04-10T00:00:00"/>
    <n v="1458.02"/>
    <x v="1"/>
    <n v="1011"/>
    <d v="2025-07-12T00:00:00"/>
    <x v="9"/>
    <s v="Auguste Davids"/>
    <s v="IT"/>
    <s v="Hamburg"/>
  </r>
  <r>
    <s v="G0011"/>
    <x v="1"/>
    <s v="Brother HL"/>
    <d v="2025-09-09T00:00:00"/>
    <n v="1417.1"/>
    <x v="1"/>
    <n v="1005"/>
    <d v="2025-06-29T00:00:00"/>
    <x v="10"/>
    <s v="Alexandre Davids"/>
    <s v="Vertrieb"/>
    <s v="Berlin"/>
  </r>
  <r>
    <s v="G0028"/>
    <x v="0"/>
    <s v="Epson EB"/>
    <d v="2023-01-19T00:00:00"/>
    <n v="1246.58"/>
    <x v="2"/>
    <n v="1004"/>
    <d v="2024-08-19T00:00:00"/>
    <x v="0"/>
    <s v="Klemens Löffler"/>
    <s v="Vertrieb"/>
    <s v="Hamburg"/>
  </r>
  <r>
    <s v="G0028"/>
    <x v="0"/>
    <s v="Epson EB"/>
    <d v="2023-01-19T00:00:00"/>
    <n v="1246.58"/>
    <x v="2"/>
    <n v="1006"/>
    <d v="2024-12-04T00:00:00"/>
    <x v="11"/>
    <s v="Eric Patberg B.Sc."/>
    <s v="Vertrieb"/>
    <s v="Hamburg"/>
  </r>
  <r>
    <s v="G0028"/>
    <x v="0"/>
    <s v="Epson EB"/>
    <d v="2023-01-19T00:00:00"/>
    <n v="1246.58"/>
    <x v="2"/>
    <n v="1003"/>
    <d v="2024-10-30T00:00:00"/>
    <x v="12"/>
    <s v="Paul Dobes-Stiffel"/>
    <s v="Produktion"/>
    <s v="Hamburg"/>
  </r>
  <r>
    <s v="G0013"/>
    <x v="1"/>
    <s v="Canon Pixma"/>
    <d v="2021-05-16T00:00:00"/>
    <n v="1898.65"/>
    <x v="2"/>
    <n v="1012"/>
    <d v="2024-05-07T00:00:00"/>
    <x v="13"/>
    <s v="Ariane Klemt-Kaul"/>
    <s v="IT"/>
    <s v="München"/>
  </r>
  <r>
    <s v="G0013"/>
    <x v="1"/>
    <s v="Canon Pixma"/>
    <d v="2021-05-16T00:00:00"/>
    <n v="1898.65"/>
    <x v="2"/>
    <n v="1009"/>
    <d v="2024-01-28T00:00:00"/>
    <x v="14"/>
    <s v="Univ.Prof. Heimo Karge"/>
    <s v="Marketing"/>
    <s v="Hamburg"/>
  </r>
  <r>
    <s v="G0029"/>
    <x v="2"/>
    <s v="Lenovo ThinkPad"/>
    <d v="2021-05-21T00:00:00"/>
    <n v="1553.15"/>
    <x v="2"/>
    <n v="1002"/>
    <d v="2025-09-21T00:00:00"/>
    <x v="15"/>
    <s v="Eleni Hauffer"/>
    <s v="IT"/>
    <s v="Berlin"/>
  </r>
  <r>
    <s v="G0015"/>
    <x v="4"/>
    <s v="iPhone 13"/>
    <d v="2022-09-20T00:00:00"/>
    <n v="661.44"/>
    <x v="1"/>
    <n v="1010"/>
    <d v="2024-03-26T00:00:00"/>
    <x v="16"/>
    <s v="Carolin Hande"/>
    <s v="IT"/>
    <s v="Hamburg"/>
  </r>
  <r>
    <s v="G0015"/>
    <x v="4"/>
    <s v="iPhone 13"/>
    <d v="2022-09-20T00:00:00"/>
    <n v="661.44"/>
    <x v="1"/>
    <n v="1002"/>
    <d v="2024-08-15T00:00:00"/>
    <x v="0"/>
    <s v="Eleni Hauffer"/>
    <s v="IT"/>
    <s v="Berlin"/>
  </r>
  <r>
    <s v="G0022"/>
    <x v="5"/>
    <s v="iPad"/>
    <d v="2024-08-20T00:00:00"/>
    <n v="1591.98"/>
    <x v="2"/>
    <n v="1002"/>
    <d v="2025-08-30T00:00:00"/>
    <x v="17"/>
    <s v="Eleni Hauffer"/>
    <s v="IT"/>
    <s v="Berlin"/>
  </r>
  <r>
    <s v="G0022"/>
    <x v="5"/>
    <s v="iPad"/>
    <d v="2024-08-20T00:00:00"/>
    <n v="1591.98"/>
    <x v="2"/>
    <n v="1002"/>
    <d v="2024-07-20T00:00:00"/>
    <x v="18"/>
    <s v="Eleni Hauffer"/>
    <s v="IT"/>
    <s v="Berlin"/>
  </r>
  <r>
    <s v="G0018"/>
    <x v="5"/>
    <s v="iPad"/>
    <d v="2022-10-05T00:00:00"/>
    <n v="1688.07"/>
    <x v="1"/>
    <n v="1011"/>
    <d v="2024-10-03T00:00:00"/>
    <x v="19"/>
    <s v="Auguste Davids"/>
    <s v="IT"/>
    <s v="Hamburg"/>
  </r>
  <r>
    <s v="G0031"/>
    <x v="2"/>
    <s v="HP EliteBook"/>
    <d v="2025-04-28T00:00:00"/>
    <n v="1095.6199999999999"/>
    <x v="1"/>
    <n v="1004"/>
    <d v="2024-01-29T00:00:00"/>
    <x v="0"/>
    <s v="Klemens Löffler"/>
    <s v="Vertrieb"/>
    <s v="Hamburg"/>
  </r>
  <r>
    <s v="G0031"/>
    <x v="2"/>
    <s v="HP EliteBook"/>
    <d v="2025-04-28T00:00:00"/>
    <n v="1095.6199999999999"/>
    <x v="1"/>
    <n v="1004"/>
    <d v="2024-02-14T00:00:00"/>
    <x v="0"/>
    <s v="Klemens Löffler"/>
    <s v="Vertrieb"/>
    <s v="Hamburg"/>
  </r>
  <r>
    <s v="G0027"/>
    <x v="3"/>
    <s v="Samsung Curved"/>
    <d v="2022-07-24T00:00:00"/>
    <n v="501.64"/>
    <x v="1"/>
    <n v="1004"/>
    <d v="2024-04-21T00:00:00"/>
    <x v="20"/>
    <s v="Klemens Löffler"/>
    <s v="Vertrieb"/>
    <s v="Hamburg"/>
  </r>
  <r>
    <s v="G0030"/>
    <x v="0"/>
    <s v="Epson EB"/>
    <d v="2022-03-27T00:00:00"/>
    <n v="1629.76"/>
    <x v="1"/>
    <n v="1012"/>
    <d v="2025-05-15T00:00:00"/>
    <x v="21"/>
    <s v="Ariane Klemt-Kaul"/>
    <s v="IT"/>
    <s v="München"/>
  </r>
  <r>
    <s v="G0030"/>
    <x v="0"/>
    <s v="Epson EB"/>
    <d v="2022-03-27T00:00:00"/>
    <n v="1629.76"/>
    <x v="1"/>
    <n v="1005"/>
    <d v="2023-12-01T00:00:00"/>
    <x v="22"/>
    <s v="Alexandre Davids"/>
    <s v="Vertrieb"/>
    <s v="Berlin"/>
  </r>
  <r>
    <s v="G0025"/>
    <x v="0"/>
    <s v="Epson EB"/>
    <d v="2023-12-06T00:00:00"/>
    <n v="545.46"/>
    <x v="0"/>
    <n v="1005"/>
    <d v="2025-01-18T00:00:00"/>
    <x v="0"/>
    <s v="Alexandre Davids"/>
    <s v="Vertrieb"/>
    <s v="Berlin"/>
  </r>
  <r>
    <s v="G0032"/>
    <x v="2"/>
    <s v="Lenovo ThinkPad"/>
    <d v="2022-11-11T00:00:00"/>
    <n v="1801.36"/>
    <x v="1"/>
    <n v="1003"/>
    <d v="2024-08-04T00:00:00"/>
    <x v="23"/>
    <s v="Paul Dobes-Stiffel"/>
    <s v="Produktion"/>
    <s v="Hamburg"/>
  </r>
  <r>
    <s v="G0014"/>
    <x v="2"/>
    <s v="Lenovo ThinkPad"/>
    <d v="2021-03-03T00:00:00"/>
    <n v="1415.97"/>
    <x v="2"/>
    <n v="1001"/>
    <d v="2024-11-26T00:00:00"/>
    <x v="24"/>
    <s v="Aleksandr Weinhage"/>
    <s v="IT"/>
    <s v="Berlin"/>
  </r>
  <r>
    <s v="G0035"/>
    <x v="0"/>
    <s v="BenQ MW550"/>
    <d v="2024-01-03T00:00:00"/>
    <n v="644.54"/>
    <x v="0"/>
    <n v="1001"/>
    <d v="2024-12-15T00:00:00"/>
    <x v="0"/>
    <s v="Aleksandr Weinhage"/>
    <s v="IT"/>
    <s v="Berlin"/>
  </r>
  <r>
    <s v="G0004"/>
    <x v="2"/>
    <s v="Dell XPS"/>
    <d v="2025-05-05T00:00:00"/>
    <n v="1007.88"/>
    <x v="1"/>
    <n v="1001"/>
    <d v="2025-08-11T00:00:00"/>
    <x v="25"/>
    <s v="Aleksandr Weinhage"/>
    <s v="IT"/>
    <s v="Berlin"/>
  </r>
  <r>
    <s v="G0033"/>
    <x v="0"/>
    <s v="BenQ MW550"/>
    <d v="2022-03-03T00:00:00"/>
    <n v="1212.29"/>
    <x v="0"/>
    <n v="1009"/>
    <d v="2025-03-24T00:00:00"/>
    <x v="26"/>
    <s v="Univ.Prof. Heimo Karge"/>
    <s v="Marketing"/>
    <s v="Hamburg"/>
  </r>
  <r>
    <s v="G0033"/>
    <x v="0"/>
    <s v="BenQ MW550"/>
    <d v="2022-03-03T00:00:00"/>
    <n v="1212.29"/>
    <x v="0"/>
    <n v="1002"/>
    <d v="2025-03-25T00:00:00"/>
    <x v="0"/>
    <s v="Eleni Hauffer"/>
    <s v="IT"/>
    <s v="Berlin"/>
  </r>
  <r>
    <s v="G0005"/>
    <x v="1"/>
    <s v="Canon Pixma"/>
    <d v="2021-11-03T00:00:00"/>
    <n v="823.23"/>
    <x v="0"/>
    <n v="1010"/>
    <d v="2025-08-30T00:00:00"/>
    <x v="27"/>
    <s v="Carolin Hande"/>
    <s v="IT"/>
    <s v="Hamburg"/>
  </r>
  <r>
    <s v="G0016"/>
    <x v="1"/>
    <s v="Canon Pixma"/>
    <d v="2023-03-30T00:00:00"/>
    <n v="1501.06"/>
    <x v="0"/>
    <n v="1007"/>
    <d v="2025-05-18T00:00:00"/>
    <x v="28"/>
    <s v="Orhan Siering MBA."/>
    <s v="IT"/>
    <s v="Berlin"/>
  </r>
  <r>
    <s v="G0016"/>
    <x v="1"/>
    <s v="Canon Pixma"/>
    <d v="2023-03-30T00:00:00"/>
    <n v="1501.06"/>
    <x v="0"/>
    <n v="1010"/>
    <d v="2025-05-31T00:00:00"/>
    <x v="29"/>
    <s v="Carolin Hande"/>
    <s v="IT"/>
    <s v="Hamburg"/>
  </r>
  <r>
    <s v="G0006"/>
    <x v="4"/>
    <s v="Samsung S21"/>
    <d v="2024-01-01T00:00:00"/>
    <n v="1257.96"/>
    <x v="1"/>
    <n v="1007"/>
    <d v="2024-07-03T00:00:00"/>
    <x v="0"/>
    <s v="Orhan Siering MBA."/>
    <s v="IT"/>
    <s v="Berlin"/>
  </r>
  <r>
    <s v="G0001"/>
    <x v="5"/>
    <s v="Galaxy Tab"/>
    <d v="2023-01-11T00:00:00"/>
    <n v="1342.83"/>
    <x v="0"/>
    <m/>
    <m/>
    <x v="0"/>
    <m/>
    <m/>
    <m/>
  </r>
  <r>
    <s v="G0002"/>
    <x v="5"/>
    <s v="Surface Go"/>
    <d v="2021-02-23T00:00:00"/>
    <n v="1076.18"/>
    <x v="1"/>
    <m/>
    <m/>
    <x v="0"/>
    <m/>
    <m/>
    <m/>
  </r>
  <r>
    <s v="G0003"/>
    <x v="5"/>
    <s v="iPad"/>
    <d v="2024-09-08T00:00:00"/>
    <n v="1931.54"/>
    <x v="1"/>
    <m/>
    <m/>
    <x v="0"/>
    <m/>
    <m/>
    <m/>
  </r>
  <r>
    <s v="G0008"/>
    <x v="0"/>
    <s v="Epson EB"/>
    <d v="2025-06-23T00:00:00"/>
    <n v="1323.76"/>
    <x v="2"/>
    <m/>
    <m/>
    <x v="0"/>
    <m/>
    <m/>
    <m/>
  </r>
  <r>
    <s v="G0010"/>
    <x v="2"/>
    <s v="Dell XPS"/>
    <d v="2023-11-09T00:00:00"/>
    <n v="1786.37"/>
    <x v="1"/>
    <m/>
    <m/>
    <x v="0"/>
    <m/>
    <m/>
    <m/>
  </r>
  <r>
    <s v="G0012"/>
    <x v="5"/>
    <s v="Galaxy Tab"/>
    <d v="2022-06-01T00:00:00"/>
    <n v="968.43"/>
    <x v="2"/>
    <m/>
    <m/>
    <x v="0"/>
    <m/>
    <m/>
    <m/>
  </r>
  <r>
    <s v="G0017"/>
    <x v="4"/>
    <s v="Samsung S21"/>
    <d v="2021-06-16T00:00:00"/>
    <n v="1748.56"/>
    <x v="0"/>
    <m/>
    <m/>
    <x v="0"/>
    <m/>
    <m/>
    <m/>
  </r>
  <r>
    <s v="G0019"/>
    <x v="1"/>
    <s v="HP LaserJet"/>
    <d v="2021-08-21T00:00:00"/>
    <n v="737.57"/>
    <x v="2"/>
    <m/>
    <m/>
    <x v="0"/>
    <m/>
    <m/>
    <m/>
  </r>
  <r>
    <s v="G0020"/>
    <x v="4"/>
    <s v="Samsung S21"/>
    <d v="2024-01-06T00:00:00"/>
    <n v="740.2"/>
    <x v="1"/>
    <m/>
    <m/>
    <x v="0"/>
    <m/>
    <m/>
    <m/>
  </r>
  <r>
    <s v="G0023"/>
    <x v="1"/>
    <s v="Canon Pixma"/>
    <d v="2023-11-19T00:00:00"/>
    <n v="1335.34"/>
    <x v="2"/>
    <m/>
    <m/>
    <x v="0"/>
    <m/>
    <m/>
    <m/>
  </r>
  <r>
    <s v="G0026"/>
    <x v="2"/>
    <s v="Dell XPS"/>
    <d v="2023-10-20T00:00:00"/>
    <n v="1403.91"/>
    <x v="2"/>
    <m/>
    <m/>
    <x v="0"/>
    <m/>
    <m/>
    <m/>
  </r>
  <r>
    <s v="G0034"/>
    <x v="4"/>
    <s v="Samsung S21"/>
    <d v="2024-09-17T00:00:00"/>
    <n v="1746.67"/>
    <x v="2"/>
    <m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104AB-5B03-446C-8C0A-EEF9A4B2300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12"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axis="axisPage" multipleItemSelectionAllowed="1" showAll="0">
      <items count="31">
        <item x="13"/>
        <item x="22"/>
        <item x="19"/>
        <item x="12"/>
        <item x="18"/>
        <item x="14"/>
        <item x="24"/>
        <item x="11"/>
        <item x="26"/>
        <item x="3"/>
        <item x="2"/>
        <item x="7"/>
        <item x="20"/>
        <item x="28"/>
        <item x="9"/>
        <item x="8"/>
        <item x="5"/>
        <item x="23"/>
        <item x="25"/>
        <item x="16"/>
        <item x="10"/>
        <item x="21"/>
        <item x="1"/>
        <item x="6"/>
        <item x="27"/>
        <item x="17"/>
        <item x="29"/>
        <item x="15"/>
        <item x="4"/>
        <item h="1" x="0"/>
        <item t="default"/>
      </items>
    </pivotField>
    <pivotField showAll="0"/>
    <pivotField showAll="0"/>
    <pivotField showAll="0"/>
  </pivotFields>
  <rowItems count="1">
    <i/>
  </rowItems>
  <colItems count="1">
    <i/>
  </colItems>
  <pageFields count="1">
    <pageField fld="8" hier="-1"/>
  </pageFields>
  <dataFields count="1">
    <dataField name="Sum of Netto-Kaufprei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06624-1A8C-4BC7-A759-5BF96EB1285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dataField="1" showAll="0"/>
    <pivotField name="Device"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nzahl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0EFE1-1B93-4355-B9E3-F824949F220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1" firstHeaderRow="1" firstDataRow="2" firstDataCol="1"/>
  <pivotFields count="12">
    <pivotField dataField="1" showAll="0"/>
    <pivotField name="Device"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showAll="0"/>
    <pivotField name="Place"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Anzahl" fld="0" subtotal="count" baseField="1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C672498-A1E9-46FD-836E-BB78705269A9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5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3ADF6DF-D16D-43EE-887B-3CE8CC7109BB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7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6143FE-2FB0-4AC6-9E2A-BBD619A0E8B0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5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B4B81E7-A2AE-43DF-874C-C50353705557}" autoFormatId="16" applyNumberFormats="0" applyBorderFormats="0" applyFontFormats="0" applyPatternFormats="0" applyAlignmentFormats="0" applyWidthHeightFormats="0">
  <queryTableRefresh nextId="10">
    <queryTableFields count="9">
      <queryTableField id="1" name="Gerätenummer" tableColumnId="10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  <queryTableField id="7" name="Mitarbeiter-ID" tableColumnId="7"/>
      <queryTableField id="8" name="Ausgabe am" tableColumnId="8"/>
      <queryTableField id="9" name="Rückgabe am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2196AB4-1F28-42E2-88B8-4298FC2C9849}" autoFormatId="16" applyNumberFormats="0" applyBorderFormats="0" applyFontFormats="0" applyPatternFormats="0" applyAlignmentFormats="0" applyWidthHeightFormats="0">
  <queryTableRefresh nextId="8">
    <queryTableFields count="7">
      <queryTableField id="1" name="Gerätenummer" tableColumnId="8"/>
      <queryTableField id="2" name="Mitarbeiter-ID" tableColumnId="2"/>
      <queryTableField id="3" name="Ausgabe am" tableColumnId="3"/>
      <queryTableField id="4" name="Rückgabe am" tableColumnId="4"/>
      <queryTableField id="5" name="Name" tableColumnId="5"/>
      <queryTableField id="6" name="Abteilung" tableColumnId="6"/>
      <queryTableField id="7" name="Standort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94260F6-EE9B-4FDB-BE3D-3147190F67E1}" autoFormatId="16" applyNumberFormats="0" applyBorderFormats="0" applyFontFormats="0" applyPatternFormats="0" applyAlignmentFormats="0" applyWidthHeightFormats="0">
  <queryTableRefresh nextId="13">
    <queryTableFields count="12">
      <queryTableField id="1" name="Gerätenummer" tableColumnId="13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  <queryTableField id="7" name="Mitarbeiter-ID" tableColumnId="7"/>
      <queryTableField id="8" name="Ausgabe am" tableColumnId="8"/>
      <queryTableField id="9" name="Rückgabe am" tableColumnId="9"/>
      <queryTableField id="10" name="Name" tableColumnId="10"/>
      <queryTableField id="11" name="Abteilung" tableColumnId="11"/>
      <queryTableField id="12" name="Standort.1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40CDDAD-D390-4F44-AD3B-8702DAE53A8E}" autoFormatId="16" applyNumberFormats="0" applyBorderFormats="0" applyFontFormats="0" applyPatternFormats="0" applyAlignmentFormats="0" applyWidthHeightFormats="0">
  <queryTableRefresh nextId="13">
    <queryTableFields count="12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  <queryTableField id="7" name="Mitarbeiter-ID" tableColumnId="7"/>
      <queryTableField id="8" name="Ausgabe am" tableColumnId="8"/>
      <queryTableField id="9" name="Rückgabe am" tableColumnId="9"/>
      <queryTableField id="10" name="Name" tableColumnId="10"/>
      <queryTableField id="11" name="Abteilung" tableColumnId="11"/>
      <queryTableField id="12" name="Standort.1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E72B9-97B6-4D55-85D7-D6E83C610540}" name="Mitarbeiter" displayName="Mitarbeiter" ref="A1:D13" tableType="queryTable" totalsRowShown="0">
  <autoFilter ref="A1:D13" xr:uid="{F32E72B9-97B6-4D55-85D7-D6E83C610540}"/>
  <tableColumns count="4">
    <tableColumn id="5" xr3:uid="{183D5310-2BF2-47C9-A05B-F4E01A4318E1}" uniqueName="5" name="Mitarbeiter-ID" queryTableFieldId="1" dataDxfId="45"/>
    <tableColumn id="2" xr3:uid="{07CF2CBE-120F-4D40-ABDD-C54CCE9AC353}" uniqueName="2" name="Name" queryTableFieldId="2" dataDxfId="44"/>
    <tableColumn id="3" xr3:uid="{3E7E46E1-C46B-4F9D-BEB7-41B1C599E93A}" uniqueName="3" name="Abteilung" queryTableFieldId="3" dataDxfId="43"/>
    <tableColumn id="4" xr3:uid="{B2F0D7D4-BF9F-4F9A-B700-F0C10EA05169}" uniqueName="4" name="Standort" queryTableFieldId="4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AA9AA7-D6DD-4525-9AF3-9929C38B20BE}" name="Geraete" displayName="Geraete" ref="A1:F36" tableType="queryTable" totalsRowShown="0">
  <autoFilter ref="A1:F36" xr:uid="{3CAA9AA7-D6DD-4525-9AF3-9929C38B20BE}"/>
  <tableColumns count="6">
    <tableColumn id="7" xr3:uid="{02888617-37A8-4A99-B4EC-D3A63BC38520}" uniqueName="7" name="Gerätenummer" queryTableFieldId="1" dataDxfId="41"/>
    <tableColumn id="2" xr3:uid="{D4D84596-CFC0-4294-9659-920DEB9F7872}" uniqueName="2" name="Gerätetyp" queryTableFieldId="2" dataDxfId="40"/>
    <tableColumn id="3" xr3:uid="{0981F2E2-497F-4F60-80AC-EE76ED223655}" uniqueName="3" name="Modell" queryTableFieldId="3" dataDxfId="39"/>
    <tableColumn id="4" xr3:uid="{8B44A22A-D3E8-4F3F-A546-2CFDB182BEAA}" uniqueName="4" name="Kaufdatum" queryTableFieldId="4" dataDxfId="38"/>
    <tableColumn id="5" xr3:uid="{9FA0F292-477F-4F9E-8660-1DE075927874}" uniqueName="5" name="Netto-Kaufpreis" queryTableFieldId="5"/>
    <tableColumn id="6" xr3:uid="{196756EB-2873-49D2-BC51-31127BF85612}" uniqueName="6" name="Standort" queryTableFieldId="6" data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415A3-4C94-4C7F-82E7-E0733909CED5}" name="Ausleihen" displayName="Ausleihen" ref="A1:D46" tableType="queryTable" totalsRowShown="0">
  <autoFilter ref="A1:D46" xr:uid="{4DD415A3-4C94-4C7F-82E7-E0733909CED5}"/>
  <tableColumns count="4">
    <tableColumn id="5" xr3:uid="{6C074D2D-1211-4ABD-8E34-698AE523D9DA}" uniqueName="5" name="Gerätenummer" queryTableFieldId="1" dataDxfId="36"/>
    <tableColumn id="2" xr3:uid="{6FA3D3D2-BB96-44E4-BC3E-DC92153ECEAA}" uniqueName="2" name="Mitarbeiter-ID" queryTableFieldId="2" dataDxfId="35"/>
    <tableColumn id="3" xr3:uid="{D3ACC889-9279-4B04-9390-67EC49509D3B}" uniqueName="3" name="Ausgabe am" queryTableFieldId="3" dataDxfId="34"/>
    <tableColumn id="4" xr3:uid="{6FE59DB1-FFAE-4EDD-B237-D5E5BC943AD4}" uniqueName="4" name="Rückgabe am" queryTableFieldId="4" dataDxfId="3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F1740F-5CA0-4C73-9983-89969A2CDAF7}" name="Merge1" displayName="Merge1" ref="A1:I58" tableType="queryTable" totalsRowShown="0">
  <autoFilter ref="A1:I58" xr:uid="{A6F1740F-5CA0-4C73-9983-89969A2CDAF7}"/>
  <tableColumns count="9">
    <tableColumn id="10" xr3:uid="{2E102A4A-DD0D-48B8-B68E-402645CDBDDA}" uniqueName="10" name="Gerätenummer" queryTableFieldId="1" dataDxfId="32"/>
    <tableColumn id="2" xr3:uid="{706E83EA-8DBD-4208-8018-D14F8E9E6975}" uniqueName="2" name="Gerätetyp" queryTableFieldId="2" dataDxfId="31"/>
    <tableColumn id="3" xr3:uid="{3E66614E-787C-4D06-8179-AE1B1A282EEB}" uniqueName="3" name="Modell" queryTableFieldId="3" dataDxfId="30"/>
    <tableColumn id="4" xr3:uid="{27211C9D-9508-48AA-B71E-C361E2AEA36F}" uniqueName="4" name="Kaufdatum" queryTableFieldId="4" dataDxfId="29"/>
    <tableColumn id="5" xr3:uid="{46ACAA8A-BD07-47FD-89C0-D29F5FF019EB}" uniqueName="5" name="Netto-Kaufpreis" queryTableFieldId="5"/>
    <tableColumn id="6" xr3:uid="{4A55B5E8-033F-4097-BB61-08529ACE638C}" uniqueName="6" name="Standort" queryTableFieldId="6" dataDxfId="28"/>
    <tableColumn id="7" xr3:uid="{FB861780-35C1-42E6-9B8A-AC5AA239234C}" uniqueName="7" name="Mitarbeiter-ID" queryTableFieldId="7"/>
    <tableColumn id="8" xr3:uid="{C5C82606-472F-4477-90C8-ADC9941864FA}" uniqueName="8" name="Ausgabe am" queryTableFieldId="8" dataDxfId="27"/>
    <tableColumn id="9" xr3:uid="{17E2D059-230A-43DB-A51D-9C79D90A9888}" uniqueName="9" name="Rückgabe am" queryTableFieldId="9" dataDxf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2EA71D-2C53-4A73-ADCF-F9A0895515E6}" name="Merge2" displayName="Merge2" ref="A1:G46" tableType="queryTable" totalsRowShown="0">
  <autoFilter ref="A1:G46" xr:uid="{B62EA71D-2C53-4A73-ADCF-F9A0895515E6}"/>
  <tableColumns count="7">
    <tableColumn id="8" xr3:uid="{71550F7C-2C29-42E4-9273-0541680F1981}" uniqueName="8" name="Gerätenummer" queryTableFieldId="1" dataDxfId="25"/>
    <tableColumn id="2" xr3:uid="{70D12EE2-BB21-4073-848D-E23D30DDDC5B}" uniqueName="2" name="Mitarbeiter-ID" queryTableFieldId="2"/>
    <tableColumn id="3" xr3:uid="{FBAC2586-F907-4138-84D8-E288D0D85AF4}" uniqueName="3" name="Ausgabe am" queryTableFieldId="3" dataDxfId="24"/>
    <tableColumn id="4" xr3:uid="{1A2415EE-143C-41FC-8219-83854453149C}" uniqueName="4" name="Rückgabe am" queryTableFieldId="4" dataDxfId="23"/>
    <tableColumn id="5" xr3:uid="{62DB4AF9-60F5-43C9-87B9-2A387BAD2767}" uniqueName="5" name="Name" queryTableFieldId="5" dataDxfId="22"/>
    <tableColumn id="6" xr3:uid="{32DBD828-2CBA-4F64-8AD7-08E0B8C4A529}" uniqueName="6" name="Abteilung" queryTableFieldId="6" dataDxfId="21"/>
    <tableColumn id="7" xr3:uid="{D3A4C6E5-3547-47D7-95DF-EBF6D5FC3BFA}" uniqueName="7" name="Standort" queryTableFieldId="7" dataDxf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ADD2AE-6894-4626-B0ED-63F517BF961B}" name="Merge3" displayName="Merge3" ref="A1:L58" tableType="queryTable" totalsRowShown="0">
  <autoFilter ref="A1:L58" xr:uid="{2EADD2AE-6894-4626-B0ED-63F517BF961B}"/>
  <tableColumns count="12">
    <tableColumn id="13" xr3:uid="{CDA10C36-AFE9-42C4-A63F-A07E70FBC61B}" uniqueName="13" name="Gerätenummer" queryTableFieldId="1" dataDxfId="19"/>
    <tableColumn id="2" xr3:uid="{51082912-F062-4BFC-9C66-9B2C6B059F2A}" uniqueName="2" name="Gerätetyp" queryTableFieldId="2" dataDxfId="18"/>
    <tableColumn id="3" xr3:uid="{9DCE7DC4-0D42-42A0-8B8F-49B34EB5418C}" uniqueName="3" name="Modell" queryTableFieldId="3" dataDxfId="17"/>
    <tableColumn id="4" xr3:uid="{3C68EE87-E22B-458E-8725-25D63779E877}" uniqueName="4" name="Kaufdatum" queryTableFieldId="4" dataDxfId="16"/>
    <tableColumn id="5" xr3:uid="{07E5CB2A-D904-404E-938C-313DBDA5114D}" uniqueName="5" name="Netto-Kaufpreis" queryTableFieldId="5"/>
    <tableColumn id="6" xr3:uid="{E281DDEA-A0C8-47D1-A647-37A2C04BAA19}" uniqueName="6" name="Standort" queryTableFieldId="6" dataDxfId="15"/>
    <tableColumn id="7" xr3:uid="{7F5FADCB-51EB-46D1-917C-503F5B609B1D}" uniqueName="7" name="Mitarbeiter-ID" queryTableFieldId="7"/>
    <tableColumn id="8" xr3:uid="{0844E289-E207-4D7B-8AD3-75881904B8BC}" uniqueName="8" name="Ausgabe am" queryTableFieldId="8" dataDxfId="14"/>
    <tableColumn id="9" xr3:uid="{548427B0-3427-4AB4-9BBF-C03514D856E2}" uniqueName="9" name="Rückgabe am" queryTableFieldId="9" dataDxfId="13"/>
    <tableColumn id="10" xr3:uid="{20AD3072-2366-4B2D-81C2-385ADF70187D}" uniqueName="10" name="Name" queryTableFieldId="10" dataDxfId="12"/>
    <tableColumn id="11" xr3:uid="{CDCD01D5-383E-4A3B-A34A-6F21BA77DED3}" uniqueName="11" name="Abteilung" queryTableFieldId="11" dataDxfId="11"/>
    <tableColumn id="12" xr3:uid="{C58EAE96-58E0-45DC-A2CD-337C2DBA34AB}" uniqueName="12" name="Standort.1" queryTableFieldId="12" dataDxf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81F13E-63E3-4167-9E93-32ECA6B34352}" name="Merge3__2" displayName="Merge3__2" ref="A1:L13" tableType="queryTable" totalsRowShown="0">
  <autoFilter ref="A1:L13" xr:uid="{4B81F13E-63E3-4167-9E93-32ECA6B34352}"/>
  <tableColumns count="12">
    <tableColumn id="1" xr3:uid="{5806C856-746A-4E0A-BE0F-F62E62BD8D83}" uniqueName="1" name="Gerätenummer" queryTableFieldId="1" dataDxfId="9"/>
    <tableColumn id="2" xr3:uid="{11D8A66F-10EA-4217-8687-7E67A6AA44C1}" uniqueName="2" name="Gerätetyp" queryTableFieldId="2" dataDxfId="8"/>
    <tableColumn id="3" xr3:uid="{AF3963E4-946E-4287-872A-E9E52C72F2B8}" uniqueName="3" name="Modell" queryTableFieldId="3" dataDxfId="7"/>
    <tableColumn id="4" xr3:uid="{13100339-B31B-43CC-B605-898952487F65}" uniqueName="4" name="Kaufdatum" queryTableFieldId="4" dataDxfId="6"/>
    <tableColumn id="5" xr3:uid="{7C8A4485-7C8D-4019-A665-37CBA26E7B4E}" uniqueName="5" name="Netto-Kaufpreis" queryTableFieldId="5"/>
    <tableColumn id="6" xr3:uid="{DECDDBD1-E4F8-4C74-8BB3-1A0A74411487}" uniqueName="6" name="Standort" queryTableFieldId="6" dataDxfId="5"/>
    <tableColumn id="7" xr3:uid="{76BE66E8-3BEF-4B16-AC99-C7312D0F6102}" uniqueName="7" name="Mitarbeiter-ID" queryTableFieldId="7"/>
    <tableColumn id="8" xr3:uid="{93E068B1-5C13-4097-A9C4-39C88A4E88C1}" uniqueName="8" name="Ausgabe am" queryTableFieldId="8" dataDxfId="4"/>
    <tableColumn id="9" xr3:uid="{5FE32460-CAD6-4F42-B2A4-8B37D29F110A}" uniqueName="9" name="Rückgabe am" queryTableFieldId="9" dataDxfId="3"/>
    <tableColumn id="10" xr3:uid="{F060EBF8-012F-4E23-B4E9-B57D727CDB96}" uniqueName="10" name="Name" queryTableFieldId="10" dataDxfId="2"/>
    <tableColumn id="11" xr3:uid="{54DBA7A6-6C00-4791-8965-F12C5BD7B70C}" uniqueName="11" name="Abteilung" queryTableFieldId="11" dataDxfId="1"/>
    <tableColumn id="12" xr3:uid="{A2C0D30E-6D95-435E-9804-E5EBD4441A37}" uniqueName="12" name="Standort.1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329F-2147-4976-A96C-13A8086C9894}">
  <dimension ref="A1:D13"/>
  <sheetViews>
    <sheetView workbookViewId="0">
      <selection activeCell="B1" sqref="B1"/>
    </sheetView>
  </sheetViews>
  <sheetFormatPr defaultRowHeight="14.4" x14ac:dyDescent="0.3"/>
  <cols>
    <col min="1" max="1" width="15" bestFit="1" customWidth="1"/>
    <col min="2" max="2" width="31.44140625" bestFit="1" customWidth="1"/>
    <col min="3" max="3" width="11.109375" bestFit="1" customWidth="1"/>
    <col min="4" max="4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 t="s">
        <v>5</v>
      </c>
      <c r="D2" t="s">
        <v>6</v>
      </c>
    </row>
    <row r="3" spans="1:4" x14ac:dyDescent="0.3">
      <c r="A3">
        <v>1002</v>
      </c>
      <c r="B3" t="s">
        <v>7</v>
      </c>
      <c r="C3" t="s">
        <v>5</v>
      </c>
      <c r="D3" t="s">
        <v>6</v>
      </c>
    </row>
    <row r="4" spans="1:4" x14ac:dyDescent="0.3">
      <c r="A4">
        <v>1003</v>
      </c>
      <c r="B4" t="s">
        <v>8</v>
      </c>
      <c r="C4" t="s">
        <v>9</v>
      </c>
      <c r="D4" t="s">
        <v>10</v>
      </c>
    </row>
    <row r="5" spans="1:4" x14ac:dyDescent="0.3">
      <c r="A5">
        <v>1004</v>
      </c>
      <c r="B5" t="s">
        <v>11</v>
      </c>
      <c r="C5" t="s">
        <v>12</v>
      </c>
      <c r="D5" t="s">
        <v>10</v>
      </c>
    </row>
    <row r="6" spans="1:4" x14ac:dyDescent="0.3">
      <c r="A6">
        <v>1005</v>
      </c>
      <c r="B6" t="s">
        <v>13</v>
      </c>
      <c r="C6" t="s">
        <v>12</v>
      </c>
      <c r="D6" t="s">
        <v>6</v>
      </c>
    </row>
    <row r="7" spans="1:4" x14ac:dyDescent="0.3">
      <c r="A7">
        <v>1006</v>
      </c>
      <c r="B7" t="s">
        <v>14</v>
      </c>
      <c r="C7" t="s">
        <v>12</v>
      </c>
      <c r="D7" t="s">
        <v>10</v>
      </c>
    </row>
    <row r="8" spans="1:4" x14ac:dyDescent="0.3">
      <c r="A8">
        <v>1007</v>
      </c>
      <c r="B8" t="s">
        <v>15</v>
      </c>
      <c r="C8" t="s">
        <v>5</v>
      </c>
      <c r="D8" t="s">
        <v>6</v>
      </c>
    </row>
    <row r="9" spans="1:4" x14ac:dyDescent="0.3">
      <c r="A9">
        <v>1008</v>
      </c>
      <c r="B9" t="s">
        <v>16</v>
      </c>
      <c r="C9" t="s">
        <v>5</v>
      </c>
      <c r="D9" t="s">
        <v>10</v>
      </c>
    </row>
    <row r="10" spans="1:4" x14ac:dyDescent="0.3">
      <c r="A10">
        <v>1009</v>
      </c>
      <c r="B10" t="s">
        <v>17</v>
      </c>
      <c r="C10" t="s">
        <v>18</v>
      </c>
      <c r="D10" t="s">
        <v>10</v>
      </c>
    </row>
    <row r="11" spans="1:4" x14ac:dyDescent="0.3">
      <c r="A11">
        <v>1010</v>
      </c>
      <c r="B11" t="s">
        <v>19</v>
      </c>
      <c r="C11" t="s">
        <v>5</v>
      </c>
      <c r="D11" t="s">
        <v>10</v>
      </c>
    </row>
    <row r="12" spans="1:4" x14ac:dyDescent="0.3">
      <c r="A12">
        <v>1011</v>
      </c>
      <c r="B12" t="s">
        <v>20</v>
      </c>
      <c r="C12" t="s">
        <v>5</v>
      </c>
      <c r="D12" t="s">
        <v>10</v>
      </c>
    </row>
    <row r="13" spans="1:4" x14ac:dyDescent="0.3">
      <c r="A13">
        <v>1012</v>
      </c>
      <c r="B13" t="s">
        <v>21</v>
      </c>
      <c r="C13" t="s">
        <v>5</v>
      </c>
      <c r="D13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8627-2ED9-4C25-AE4E-AE7D92CD1DB7}">
  <dimension ref="A1:F36"/>
  <sheetViews>
    <sheetView topLeftCell="A2" workbookViewId="0">
      <selection sqref="A1:A1048576"/>
    </sheetView>
  </sheetViews>
  <sheetFormatPr defaultRowHeight="14.4" x14ac:dyDescent="0.3"/>
  <cols>
    <col min="1" max="1" width="16" bestFit="1" customWidth="1"/>
    <col min="2" max="2" width="11.5546875" bestFit="1" customWidth="1"/>
    <col min="3" max="3" width="14.88671875" bestFit="1" customWidth="1"/>
    <col min="4" max="4" width="12.33203125" bestFit="1" customWidth="1"/>
    <col min="5" max="5" width="16.5546875" bestFit="1" customWidth="1"/>
    <col min="6" max="6" width="10.4414062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3</v>
      </c>
    </row>
    <row r="2" spans="1:6" x14ac:dyDescent="0.3">
      <c r="A2" t="s">
        <v>28</v>
      </c>
      <c r="B2" t="s">
        <v>29</v>
      </c>
      <c r="C2" t="s">
        <v>30</v>
      </c>
      <c r="D2" s="1">
        <v>44937</v>
      </c>
      <c r="E2">
        <v>1342.83</v>
      </c>
      <c r="F2" t="s">
        <v>6</v>
      </c>
    </row>
    <row r="3" spans="1:6" x14ac:dyDescent="0.3">
      <c r="A3" t="s">
        <v>31</v>
      </c>
      <c r="B3" t="s">
        <v>29</v>
      </c>
      <c r="C3" t="s">
        <v>32</v>
      </c>
      <c r="D3" s="1">
        <v>44250</v>
      </c>
      <c r="E3">
        <v>1076.18</v>
      </c>
      <c r="F3" t="s">
        <v>22</v>
      </c>
    </row>
    <row r="4" spans="1:6" x14ac:dyDescent="0.3">
      <c r="A4" t="s">
        <v>33</v>
      </c>
      <c r="B4" t="s">
        <v>29</v>
      </c>
      <c r="C4" t="s">
        <v>34</v>
      </c>
      <c r="D4" s="1">
        <v>45543</v>
      </c>
      <c r="E4">
        <v>1931.54</v>
      </c>
      <c r="F4" t="s">
        <v>22</v>
      </c>
    </row>
    <row r="5" spans="1:6" x14ac:dyDescent="0.3">
      <c r="A5" t="s">
        <v>35</v>
      </c>
      <c r="B5" t="s">
        <v>36</v>
      </c>
      <c r="C5" t="s">
        <v>37</v>
      </c>
      <c r="D5" s="1">
        <v>45782</v>
      </c>
      <c r="E5">
        <v>1007.88</v>
      </c>
      <c r="F5" t="s">
        <v>22</v>
      </c>
    </row>
    <row r="6" spans="1:6" x14ac:dyDescent="0.3">
      <c r="A6" t="s">
        <v>38</v>
      </c>
      <c r="B6" t="s">
        <v>39</v>
      </c>
      <c r="C6" t="s">
        <v>40</v>
      </c>
      <c r="D6" s="1">
        <v>44503</v>
      </c>
      <c r="E6">
        <v>823.23</v>
      </c>
      <c r="F6" t="s">
        <v>6</v>
      </c>
    </row>
    <row r="7" spans="1:6" x14ac:dyDescent="0.3">
      <c r="A7" t="s">
        <v>41</v>
      </c>
      <c r="B7" t="s">
        <v>42</v>
      </c>
      <c r="C7" t="s">
        <v>43</v>
      </c>
      <c r="D7" s="1">
        <v>45292</v>
      </c>
      <c r="E7">
        <v>1257.96</v>
      </c>
      <c r="F7" t="s">
        <v>22</v>
      </c>
    </row>
    <row r="8" spans="1:6" x14ac:dyDescent="0.3">
      <c r="A8" t="s">
        <v>44</v>
      </c>
      <c r="B8" t="s">
        <v>36</v>
      </c>
      <c r="C8" t="s">
        <v>45</v>
      </c>
      <c r="D8" s="1">
        <v>44360</v>
      </c>
      <c r="E8">
        <v>869.09</v>
      </c>
      <c r="F8" t="s">
        <v>10</v>
      </c>
    </row>
    <row r="9" spans="1:6" x14ac:dyDescent="0.3">
      <c r="A9" t="s">
        <v>46</v>
      </c>
      <c r="B9" t="s">
        <v>47</v>
      </c>
      <c r="C9" t="s">
        <v>48</v>
      </c>
      <c r="D9" s="1">
        <v>45831</v>
      </c>
      <c r="E9">
        <v>1323.76</v>
      </c>
      <c r="F9" t="s">
        <v>10</v>
      </c>
    </row>
    <row r="10" spans="1:6" x14ac:dyDescent="0.3">
      <c r="A10" t="s">
        <v>49</v>
      </c>
      <c r="B10" t="s">
        <v>36</v>
      </c>
      <c r="C10" t="s">
        <v>37</v>
      </c>
      <c r="D10" s="1">
        <v>45026</v>
      </c>
      <c r="E10">
        <v>1458.02</v>
      </c>
      <c r="F10" t="s">
        <v>22</v>
      </c>
    </row>
    <row r="11" spans="1:6" x14ac:dyDescent="0.3">
      <c r="A11" t="s">
        <v>50</v>
      </c>
      <c r="B11" t="s">
        <v>36</v>
      </c>
      <c r="C11" t="s">
        <v>37</v>
      </c>
      <c r="D11" s="1">
        <v>45239</v>
      </c>
      <c r="E11">
        <v>1786.37</v>
      </c>
      <c r="F11" t="s">
        <v>22</v>
      </c>
    </row>
    <row r="12" spans="1:6" x14ac:dyDescent="0.3">
      <c r="A12" t="s">
        <v>51</v>
      </c>
      <c r="B12" t="s">
        <v>39</v>
      </c>
      <c r="C12" t="s">
        <v>52</v>
      </c>
      <c r="D12" s="1">
        <v>45909</v>
      </c>
      <c r="E12">
        <v>1417.1</v>
      </c>
      <c r="F12" t="s">
        <v>22</v>
      </c>
    </row>
    <row r="13" spans="1:6" x14ac:dyDescent="0.3">
      <c r="A13" t="s">
        <v>53</v>
      </c>
      <c r="B13" t="s">
        <v>29</v>
      </c>
      <c r="C13" t="s">
        <v>30</v>
      </c>
      <c r="D13" s="1">
        <v>44713</v>
      </c>
      <c r="E13">
        <v>968.43</v>
      </c>
      <c r="F13" t="s">
        <v>10</v>
      </c>
    </row>
    <row r="14" spans="1:6" x14ac:dyDescent="0.3">
      <c r="A14" t="s">
        <v>54</v>
      </c>
      <c r="B14" t="s">
        <v>39</v>
      </c>
      <c r="C14" t="s">
        <v>40</v>
      </c>
      <c r="D14" s="1">
        <v>44332</v>
      </c>
      <c r="E14">
        <v>1898.65</v>
      </c>
      <c r="F14" t="s">
        <v>10</v>
      </c>
    </row>
    <row r="15" spans="1:6" x14ac:dyDescent="0.3">
      <c r="A15" t="s">
        <v>55</v>
      </c>
      <c r="B15" t="s">
        <v>36</v>
      </c>
      <c r="C15" t="s">
        <v>45</v>
      </c>
      <c r="D15" s="1">
        <v>44258</v>
      </c>
      <c r="E15">
        <v>1415.97</v>
      </c>
      <c r="F15" t="s">
        <v>10</v>
      </c>
    </row>
    <row r="16" spans="1:6" x14ac:dyDescent="0.3">
      <c r="A16" t="s">
        <v>56</v>
      </c>
      <c r="B16" t="s">
        <v>42</v>
      </c>
      <c r="C16" t="s">
        <v>57</v>
      </c>
      <c r="D16" s="1">
        <v>44824</v>
      </c>
      <c r="E16">
        <v>661.44</v>
      </c>
      <c r="F16" t="s">
        <v>22</v>
      </c>
    </row>
    <row r="17" spans="1:6" x14ac:dyDescent="0.3">
      <c r="A17" t="s">
        <v>58</v>
      </c>
      <c r="B17" t="s">
        <v>39</v>
      </c>
      <c r="C17" t="s">
        <v>40</v>
      </c>
      <c r="D17" s="1">
        <v>45015</v>
      </c>
      <c r="E17">
        <v>1501.06</v>
      </c>
      <c r="F17" t="s">
        <v>6</v>
      </c>
    </row>
    <row r="18" spans="1:6" x14ac:dyDescent="0.3">
      <c r="A18" t="s">
        <v>59</v>
      </c>
      <c r="B18" t="s">
        <v>42</v>
      </c>
      <c r="C18" t="s">
        <v>43</v>
      </c>
      <c r="D18" s="1">
        <v>44363</v>
      </c>
      <c r="E18">
        <v>1748.56</v>
      </c>
      <c r="F18" t="s">
        <v>6</v>
      </c>
    </row>
    <row r="19" spans="1:6" x14ac:dyDescent="0.3">
      <c r="A19" t="s">
        <v>60</v>
      </c>
      <c r="B19" t="s">
        <v>29</v>
      </c>
      <c r="C19" t="s">
        <v>34</v>
      </c>
      <c r="D19" s="1">
        <v>44839</v>
      </c>
      <c r="E19">
        <v>1688.07</v>
      </c>
      <c r="F19" t="s">
        <v>22</v>
      </c>
    </row>
    <row r="20" spans="1:6" x14ac:dyDescent="0.3">
      <c r="A20" t="s">
        <v>61</v>
      </c>
      <c r="B20" t="s">
        <v>39</v>
      </c>
      <c r="C20" t="s">
        <v>62</v>
      </c>
      <c r="D20" s="1">
        <v>44429</v>
      </c>
      <c r="E20">
        <v>737.57</v>
      </c>
      <c r="F20" t="s">
        <v>10</v>
      </c>
    </row>
    <row r="21" spans="1:6" x14ac:dyDescent="0.3">
      <c r="A21" t="s">
        <v>63</v>
      </c>
      <c r="B21" t="s">
        <v>42</v>
      </c>
      <c r="C21" t="s">
        <v>43</v>
      </c>
      <c r="D21" s="1">
        <v>45297</v>
      </c>
      <c r="E21">
        <v>740.2</v>
      </c>
      <c r="F21" t="s">
        <v>22</v>
      </c>
    </row>
    <row r="22" spans="1:6" x14ac:dyDescent="0.3">
      <c r="A22" t="s">
        <v>64</v>
      </c>
      <c r="B22" t="s">
        <v>65</v>
      </c>
      <c r="C22" t="s">
        <v>66</v>
      </c>
      <c r="D22" s="1">
        <v>44979</v>
      </c>
      <c r="E22">
        <v>1134.1600000000001</v>
      </c>
      <c r="F22" t="s">
        <v>22</v>
      </c>
    </row>
    <row r="23" spans="1:6" x14ac:dyDescent="0.3">
      <c r="A23" t="s">
        <v>67</v>
      </c>
      <c r="B23" t="s">
        <v>29</v>
      </c>
      <c r="C23" t="s">
        <v>34</v>
      </c>
      <c r="D23" s="1">
        <v>45524</v>
      </c>
      <c r="E23">
        <v>1591.98</v>
      </c>
      <c r="F23" t="s">
        <v>10</v>
      </c>
    </row>
    <row r="24" spans="1:6" x14ac:dyDescent="0.3">
      <c r="A24" t="s">
        <v>68</v>
      </c>
      <c r="B24" t="s">
        <v>39</v>
      </c>
      <c r="C24" t="s">
        <v>40</v>
      </c>
      <c r="D24" s="1">
        <v>45249</v>
      </c>
      <c r="E24">
        <v>1335.34</v>
      </c>
      <c r="F24" t="s">
        <v>10</v>
      </c>
    </row>
    <row r="25" spans="1:6" x14ac:dyDescent="0.3">
      <c r="A25" t="s">
        <v>69</v>
      </c>
      <c r="B25" t="s">
        <v>65</v>
      </c>
      <c r="C25" t="s">
        <v>70</v>
      </c>
      <c r="D25" s="1">
        <v>44621</v>
      </c>
      <c r="E25">
        <v>750.91</v>
      </c>
      <c r="F25" t="s">
        <v>6</v>
      </c>
    </row>
    <row r="26" spans="1:6" x14ac:dyDescent="0.3">
      <c r="A26" t="s">
        <v>71</v>
      </c>
      <c r="B26" t="s">
        <v>47</v>
      </c>
      <c r="C26" t="s">
        <v>48</v>
      </c>
      <c r="D26" s="1">
        <v>45266</v>
      </c>
      <c r="E26">
        <v>545.46</v>
      </c>
      <c r="F26" t="s">
        <v>6</v>
      </c>
    </row>
    <row r="27" spans="1:6" x14ac:dyDescent="0.3">
      <c r="A27" t="s">
        <v>72</v>
      </c>
      <c r="B27" t="s">
        <v>36</v>
      </c>
      <c r="C27" t="s">
        <v>37</v>
      </c>
      <c r="D27" s="1">
        <v>45219</v>
      </c>
      <c r="E27">
        <v>1403.91</v>
      </c>
      <c r="F27" t="s">
        <v>10</v>
      </c>
    </row>
    <row r="28" spans="1:6" x14ac:dyDescent="0.3">
      <c r="A28" t="s">
        <v>73</v>
      </c>
      <c r="B28" t="s">
        <v>65</v>
      </c>
      <c r="C28" t="s">
        <v>66</v>
      </c>
      <c r="D28" s="1">
        <v>44766</v>
      </c>
      <c r="E28">
        <v>501.64</v>
      </c>
      <c r="F28" t="s">
        <v>22</v>
      </c>
    </row>
    <row r="29" spans="1:6" x14ac:dyDescent="0.3">
      <c r="A29" t="s">
        <v>74</v>
      </c>
      <c r="B29" t="s">
        <v>47</v>
      </c>
      <c r="C29" t="s">
        <v>48</v>
      </c>
      <c r="D29" s="1">
        <v>44945</v>
      </c>
      <c r="E29">
        <v>1246.58</v>
      </c>
      <c r="F29" t="s">
        <v>10</v>
      </c>
    </row>
    <row r="30" spans="1:6" x14ac:dyDescent="0.3">
      <c r="A30" t="s">
        <v>75</v>
      </c>
      <c r="B30" t="s">
        <v>36</v>
      </c>
      <c r="C30" t="s">
        <v>45</v>
      </c>
      <c r="D30" s="1">
        <v>44337</v>
      </c>
      <c r="E30">
        <v>1553.15</v>
      </c>
      <c r="F30" t="s">
        <v>10</v>
      </c>
    </row>
    <row r="31" spans="1:6" x14ac:dyDescent="0.3">
      <c r="A31" t="s">
        <v>76</v>
      </c>
      <c r="B31" t="s">
        <v>47</v>
      </c>
      <c r="C31" t="s">
        <v>48</v>
      </c>
      <c r="D31" s="1">
        <v>44647</v>
      </c>
      <c r="E31">
        <v>1629.76</v>
      </c>
      <c r="F31" t="s">
        <v>22</v>
      </c>
    </row>
    <row r="32" spans="1:6" x14ac:dyDescent="0.3">
      <c r="A32" t="s">
        <v>77</v>
      </c>
      <c r="B32" t="s">
        <v>36</v>
      </c>
      <c r="C32" t="s">
        <v>78</v>
      </c>
      <c r="D32" s="1">
        <v>45775</v>
      </c>
      <c r="E32">
        <v>1095.6199999999999</v>
      </c>
      <c r="F32" t="s">
        <v>22</v>
      </c>
    </row>
    <row r="33" spans="1:6" x14ac:dyDescent="0.3">
      <c r="A33" t="s">
        <v>79</v>
      </c>
      <c r="B33" t="s">
        <v>36</v>
      </c>
      <c r="C33" t="s">
        <v>45</v>
      </c>
      <c r="D33" s="1">
        <v>44876</v>
      </c>
      <c r="E33">
        <v>1801.36</v>
      </c>
      <c r="F33" t="s">
        <v>22</v>
      </c>
    </row>
    <row r="34" spans="1:6" x14ac:dyDescent="0.3">
      <c r="A34" t="s">
        <v>80</v>
      </c>
      <c r="B34" t="s">
        <v>47</v>
      </c>
      <c r="C34" t="s">
        <v>81</v>
      </c>
      <c r="D34" s="1">
        <v>44623</v>
      </c>
      <c r="E34">
        <v>1212.29</v>
      </c>
      <c r="F34" t="s">
        <v>6</v>
      </c>
    </row>
    <row r="35" spans="1:6" x14ac:dyDescent="0.3">
      <c r="A35" t="s">
        <v>82</v>
      </c>
      <c r="B35" t="s">
        <v>42</v>
      </c>
      <c r="C35" t="s">
        <v>43</v>
      </c>
      <c r="D35" s="1">
        <v>45552</v>
      </c>
      <c r="E35">
        <v>1746.67</v>
      </c>
      <c r="F35" t="s">
        <v>10</v>
      </c>
    </row>
    <row r="36" spans="1:6" x14ac:dyDescent="0.3">
      <c r="A36" t="s">
        <v>83</v>
      </c>
      <c r="B36" t="s">
        <v>47</v>
      </c>
      <c r="C36" t="s">
        <v>81</v>
      </c>
      <c r="D36" s="1">
        <v>45294</v>
      </c>
      <c r="E36">
        <v>644.54</v>
      </c>
      <c r="F36" t="s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9449-88B1-4B62-A278-777F3394D164}">
  <dimension ref="A1:D46"/>
  <sheetViews>
    <sheetView workbookViewId="0">
      <selection activeCell="A21" sqref="A21"/>
    </sheetView>
  </sheetViews>
  <sheetFormatPr defaultRowHeight="14.4" x14ac:dyDescent="0.3"/>
  <cols>
    <col min="1" max="1" width="16" bestFit="1" customWidth="1"/>
    <col min="2" max="2" width="15" bestFit="1" customWidth="1"/>
    <col min="3" max="3" width="13.21875" bestFit="1" customWidth="1"/>
    <col min="4" max="4" width="14.33203125" bestFit="1" customWidth="1"/>
  </cols>
  <sheetData>
    <row r="1" spans="1:4" x14ac:dyDescent="0.3">
      <c r="A1" t="s">
        <v>23</v>
      </c>
      <c r="B1" t="s">
        <v>0</v>
      </c>
      <c r="C1" t="s">
        <v>84</v>
      </c>
      <c r="D1" t="s">
        <v>85</v>
      </c>
    </row>
    <row r="2" spans="1:4" x14ac:dyDescent="0.3">
      <c r="A2" t="s">
        <v>83</v>
      </c>
      <c r="B2">
        <v>1009</v>
      </c>
      <c r="C2" s="1">
        <v>45421</v>
      </c>
      <c r="D2" s="1"/>
    </row>
    <row r="3" spans="1:4" x14ac:dyDescent="0.3">
      <c r="A3" t="s">
        <v>64</v>
      </c>
      <c r="B3">
        <v>1008</v>
      </c>
      <c r="C3" s="1">
        <v>45930</v>
      </c>
      <c r="D3" s="1">
        <v>45935</v>
      </c>
    </row>
    <row r="4" spans="1:4" x14ac:dyDescent="0.3">
      <c r="A4" t="s">
        <v>69</v>
      </c>
      <c r="B4">
        <v>1005</v>
      </c>
      <c r="C4" s="1">
        <v>45743</v>
      </c>
      <c r="D4" s="1">
        <v>45868</v>
      </c>
    </row>
    <row r="5" spans="1:4" x14ac:dyDescent="0.3">
      <c r="A5" t="s">
        <v>58</v>
      </c>
      <c r="B5">
        <v>1010</v>
      </c>
      <c r="C5" s="1">
        <v>45866</v>
      </c>
      <c r="D5" s="1"/>
    </row>
    <row r="6" spans="1:4" x14ac:dyDescent="0.3">
      <c r="A6" t="s">
        <v>41</v>
      </c>
      <c r="B6">
        <v>1012</v>
      </c>
      <c r="C6" s="1">
        <v>45808</v>
      </c>
      <c r="D6" s="1">
        <v>45818</v>
      </c>
    </row>
    <row r="7" spans="1:4" x14ac:dyDescent="0.3">
      <c r="A7" t="s">
        <v>38</v>
      </c>
      <c r="B7">
        <v>1009</v>
      </c>
      <c r="C7" s="1">
        <v>45389</v>
      </c>
      <c r="D7" s="1"/>
    </row>
    <row r="8" spans="1:4" x14ac:dyDescent="0.3">
      <c r="A8" t="s">
        <v>49</v>
      </c>
      <c r="B8">
        <v>1011</v>
      </c>
      <c r="C8" s="1">
        <v>45850</v>
      </c>
      <c r="D8" s="1">
        <v>45853</v>
      </c>
    </row>
    <row r="9" spans="1:4" x14ac:dyDescent="0.3">
      <c r="A9" t="s">
        <v>51</v>
      </c>
      <c r="B9">
        <v>1005</v>
      </c>
      <c r="C9" s="1">
        <v>45837</v>
      </c>
      <c r="D9" s="1">
        <v>45898</v>
      </c>
    </row>
    <row r="10" spans="1:4" x14ac:dyDescent="0.3">
      <c r="A10" t="s">
        <v>74</v>
      </c>
      <c r="B10">
        <v>1004</v>
      </c>
      <c r="C10" s="1">
        <v>45523</v>
      </c>
      <c r="D10" s="1"/>
    </row>
    <row r="11" spans="1:4" x14ac:dyDescent="0.3">
      <c r="A11" t="s">
        <v>54</v>
      </c>
      <c r="B11">
        <v>1012</v>
      </c>
      <c r="C11" s="1">
        <v>45419</v>
      </c>
      <c r="D11" s="1">
        <v>45470</v>
      </c>
    </row>
    <row r="12" spans="1:4" x14ac:dyDescent="0.3">
      <c r="A12" t="s">
        <v>69</v>
      </c>
      <c r="B12">
        <v>1008</v>
      </c>
      <c r="C12" s="1">
        <v>45375</v>
      </c>
      <c r="D12" s="1"/>
    </row>
    <row r="13" spans="1:4" x14ac:dyDescent="0.3">
      <c r="A13" t="s">
        <v>75</v>
      </c>
      <c r="B13">
        <v>1002</v>
      </c>
      <c r="C13" s="1">
        <v>45921</v>
      </c>
      <c r="D13" s="1">
        <v>45934</v>
      </c>
    </row>
    <row r="14" spans="1:4" x14ac:dyDescent="0.3">
      <c r="A14" t="s">
        <v>38</v>
      </c>
      <c r="B14">
        <v>1006</v>
      </c>
      <c r="C14" s="1">
        <v>45892</v>
      </c>
      <c r="D14" s="1">
        <v>45922</v>
      </c>
    </row>
    <row r="15" spans="1:4" x14ac:dyDescent="0.3">
      <c r="A15" t="s">
        <v>56</v>
      </c>
      <c r="B15">
        <v>1010</v>
      </c>
      <c r="C15" s="1">
        <v>45377</v>
      </c>
      <c r="D15" s="1">
        <v>45886</v>
      </c>
    </row>
    <row r="16" spans="1:4" x14ac:dyDescent="0.3">
      <c r="A16" t="s">
        <v>38</v>
      </c>
      <c r="B16">
        <v>1012</v>
      </c>
      <c r="C16" s="1">
        <v>45599</v>
      </c>
      <c r="D16" s="1"/>
    </row>
    <row r="17" spans="1:4" x14ac:dyDescent="0.3">
      <c r="A17" t="s">
        <v>56</v>
      </c>
      <c r="B17">
        <v>1002</v>
      </c>
      <c r="C17" s="1">
        <v>45519</v>
      </c>
      <c r="D17" s="1"/>
    </row>
    <row r="18" spans="1:4" x14ac:dyDescent="0.3">
      <c r="A18" t="s">
        <v>67</v>
      </c>
      <c r="B18">
        <v>1002</v>
      </c>
      <c r="C18" s="1">
        <v>45899</v>
      </c>
      <c r="D18" s="1">
        <v>45930</v>
      </c>
    </row>
    <row r="19" spans="1:4" x14ac:dyDescent="0.3">
      <c r="A19" t="s">
        <v>60</v>
      </c>
      <c r="B19">
        <v>1011</v>
      </c>
      <c r="C19" s="1">
        <v>45568</v>
      </c>
      <c r="D19" s="1">
        <v>45623</v>
      </c>
    </row>
    <row r="20" spans="1:4" x14ac:dyDescent="0.3">
      <c r="A20" t="s">
        <v>83</v>
      </c>
      <c r="B20">
        <v>1003</v>
      </c>
      <c r="C20" s="1">
        <v>45417</v>
      </c>
      <c r="D20" s="1"/>
    </row>
    <row r="21" spans="1:4" x14ac:dyDescent="0.3">
      <c r="A21" t="s">
        <v>77</v>
      </c>
      <c r="B21">
        <v>1004</v>
      </c>
      <c r="C21" s="1">
        <v>45320</v>
      </c>
      <c r="D21" s="1"/>
    </row>
    <row r="22" spans="1:4" x14ac:dyDescent="0.3">
      <c r="A22" t="s">
        <v>73</v>
      </c>
      <c r="B22">
        <v>1004</v>
      </c>
      <c r="C22" s="1">
        <v>45403</v>
      </c>
      <c r="D22" s="1">
        <v>45839</v>
      </c>
    </row>
    <row r="23" spans="1:4" x14ac:dyDescent="0.3">
      <c r="A23" t="s">
        <v>74</v>
      </c>
      <c r="B23">
        <v>1006</v>
      </c>
      <c r="C23" s="1">
        <v>45630</v>
      </c>
      <c r="D23" s="1">
        <v>45732</v>
      </c>
    </row>
    <row r="24" spans="1:4" x14ac:dyDescent="0.3">
      <c r="A24" t="s">
        <v>76</v>
      </c>
      <c r="B24">
        <v>1012</v>
      </c>
      <c r="C24" s="1">
        <v>45792</v>
      </c>
      <c r="D24" s="1">
        <v>45905</v>
      </c>
    </row>
    <row r="25" spans="1:4" x14ac:dyDescent="0.3">
      <c r="A25" t="s">
        <v>44</v>
      </c>
      <c r="B25">
        <v>1001</v>
      </c>
      <c r="C25" s="1">
        <v>45544</v>
      </c>
      <c r="D25" s="1">
        <v>45854</v>
      </c>
    </row>
    <row r="26" spans="1:4" x14ac:dyDescent="0.3">
      <c r="A26" t="s">
        <v>67</v>
      </c>
      <c r="B26">
        <v>1002</v>
      </c>
      <c r="C26" s="1">
        <v>45493</v>
      </c>
      <c r="D26" s="1">
        <v>45663</v>
      </c>
    </row>
    <row r="27" spans="1:4" x14ac:dyDescent="0.3">
      <c r="A27" t="s">
        <v>54</v>
      </c>
      <c r="B27">
        <v>1009</v>
      </c>
      <c r="C27" s="1">
        <v>45319</v>
      </c>
      <c r="D27" s="1">
        <v>45714</v>
      </c>
    </row>
    <row r="28" spans="1:4" x14ac:dyDescent="0.3">
      <c r="A28" t="s">
        <v>74</v>
      </c>
      <c r="B28">
        <v>1003</v>
      </c>
      <c r="C28" s="1">
        <v>45595</v>
      </c>
      <c r="D28" s="1">
        <v>45630</v>
      </c>
    </row>
    <row r="29" spans="1:4" x14ac:dyDescent="0.3">
      <c r="A29" t="s">
        <v>58</v>
      </c>
      <c r="B29">
        <v>1002</v>
      </c>
      <c r="C29" s="1">
        <v>45799</v>
      </c>
      <c r="D29" s="1">
        <v>45808</v>
      </c>
    </row>
    <row r="30" spans="1:4" x14ac:dyDescent="0.3">
      <c r="A30" t="s">
        <v>44</v>
      </c>
      <c r="B30">
        <v>1001</v>
      </c>
      <c r="C30" s="1">
        <v>45880</v>
      </c>
      <c r="D30" s="1"/>
    </row>
    <row r="31" spans="1:4" x14ac:dyDescent="0.3">
      <c r="A31" t="s">
        <v>83</v>
      </c>
      <c r="B31">
        <v>1001</v>
      </c>
      <c r="C31" s="1">
        <v>45297</v>
      </c>
      <c r="D31" s="1"/>
    </row>
    <row r="32" spans="1:4" x14ac:dyDescent="0.3">
      <c r="A32" t="s">
        <v>58</v>
      </c>
      <c r="B32">
        <v>1003</v>
      </c>
      <c r="C32" s="1">
        <v>45330</v>
      </c>
      <c r="D32" s="1">
        <v>45817</v>
      </c>
    </row>
    <row r="33" spans="1:4" x14ac:dyDescent="0.3">
      <c r="A33" t="s">
        <v>77</v>
      </c>
      <c r="B33">
        <v>1004</v>
      </c>
      <c r="C33" s="1">
        <v>45336</v>
      </c>
      <c r="D33" s="1"/>
    </row>
    <row r="34" spans="1:4" x14ac:dyDescent="0.3">
      <c r="A34" t="s">
        <v>35</v>
      </c>
      <c r="B34">
        <v>1003</v>
      </c>
      <c r="C34" s="1">
        <v>45827</v>
      </c>
      <c r="D34" s="1">
        <v>45908</v>
      </c>
    </row>
    <row r="35" spans="1:4" x14ac:dyDescent="0.3">
      <c r="A35" t="s">
        <v>71</v>
      </c>
      <c r="B35">
        <v>1005</v>
      </c>
      <c r="C35" s="1">
        <v>45675</v>
      </c>
      <c r="D35" s="1"/>
    </row>
    <row r="36" spans="1:4" x14ac:dyDescent="0.3">
      <c r="A36" t="s">
        <v>76</v>
      </c>
      <c r="B36">
        <v>1005</v>
      </c>
      <c r="C36" s="1">
        <v>45261</v>
      </c>
      <c r="D36" s="1">
        <v>45559</v>
      </c>
    </row>
    <row r="37" spans="1:4" x14ac:dyDescent="0.3">
      <c r="A37" t="s">
        <v>79</v>
      </c>
      <c r="B37">
        <v>1003</v>
      </c>
      <c r="C37" s="1">
        <v>45508</v>
      </c>
      <c r="D37" s="1">
        <v>45871</v>
      </c>
    </row>
    <row r="38" spans="1:4" x14ac:dyDescent="0.3">
      <c r="A38" t="s">
        <v>55</v>
      </c>
      <c r="B38">
        <v>1001</v>
      </c>
      <c r="C38" s="1">
        <v>45622</v>
      </c>
      <c r="D38" s="1">
        <v>45719</v>
      </c>
    </row>
    <row r="39" spans="1:4" x14ac:dyDescent="0.3">
      <c r="A39" t="s">
        <v>83</v>
      </c>
      <c r="B39">
        <v>1001</v>
      </c>
      <c r="C39" s="1">
        <v>45641</v>
      </c>
      <c r="D39" s="1"/>
    </row>
    <row r="40" spans="1:4" x14ac:dyDescent="0.3">
      <c r="A40" t="s">
        <v>35</v>
      </c>
      <c r="B40">
        <v>1001</v>
      </c>
      <c r="C40" s="1">
        <v>45880</v>
      </c>
      <c r="D40" s="1">
        <v>45881</v>
      </c>
    </row>
    <row r="41" spans="1:4" x14ac:dyDescent="0.3">
      <c r="A41" t="s">
        <v>80</v>
      </c>
      <c r="B41">
        <v>1009</v>
      </c>
      <c r="C41" s="1">
        <v>45740</v>
      </c>
      <c r="D41" s="1">
        <v>45784</v>
      </c>
    </row>
    <row r="42" spans="1:4" x14ac:dyDescent="0.3">
      <c r="A42" t="s">
        <v>80</v>
      </c>
      <c r="B42">
        <v>1002</v>
      </c>
      <c r="C42" s="1">
        <v>45741</v>
      </c>
      <c r="D42" s="1"/>
    </row>
    <row r="43" spans="1:4" x14ac:dyDescent="0.3">
      <c r="A43" t="s">
        <v>38</v>
      </c>
      <c r="B43">
        <v>1010</v>
      </c>
      <c r="C43" s="1">
        <v>45899</v>
      </c>
      <c r="D43" s="1">
        <v>45925</v>
      </c>
    </row>
    <row r="44" spans="1:4" x14ac:dyDescent="0.3">
      <c r="A44" t="s">
        <v>58</v>
      </c>
      <c r="B44">
        <v>1007</v>
      </c>
      <c r="C44" s="1">
        <v>45795</v>
      </c>
      <c r="D44" s="1">
        <v>45846</v>
      </c>
    </row>
    <row r="45" spans="1:4" x14ac:dyDescent="0.3">
      <c r="A45" t="s">
        <v>58</v>
      </c>
      <c r="B45">
        <v>1010</v>
      </c>
      <c r="C45" s="1">
        <v>45808</v>
      </c>
      <c r="D45" s="1">
        <v>45932</v>
      </c>
    </row>
    <row r="46" spans="1:4" x14ac:dyDescent="0.3">
      <c r="A46" t="s">
        <v>41</v>
      </c>
      <c r="B46">
        <v>1007</v>
      </c>
      <c r="C46" s="1">
        <v>45476</v>
      </c>
      <c r="D46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1770-0844-402E-B7EF-5CCA1371132B}">
  <dimension ref="A1:I58"/>
  <sheetViews>
    <sheetView workbookViewId="0"/>
  </sheetViews>
  <sheetFormatPr defaultRowHeight="14.4" x14ac:dyDescent="0.3"/>
  <cols>
    <col min="1" max="1" width="16" bestFit="1" customWidth="1"/>
    <col min="2" max="2" width="11.5546875" bestFit="1" customWidth="1"/>
    <col min="3" max="3" width="14.88671875" bestFit="1" customWidth="1"/>
    <col min="4" max="4" width="12.33203125" bestFit="1" customWidth="1"/>
    <col min="5" max="5" width="16.5546875" bestFit="1" customWidth="1"/>
    <col min="6" max="6" width="10.44140625" bestFit="1" customWidth="1"/>
    <col min="7" max="7" width="15" bestFit="1" customWidth="1"/>
    <col min="8" max="8" width="13.21875" bestFit="1" customWidth="1"/>
    <col min="9" max="9" width="14.33203125" bestFit="1" customWidth="1"/>
  </cols>
  <sheetData>
    <row r="1" spans="1:9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3</v>
      </c>
      <c r="G1" t="s">
        <v>0</v>
      </c>
      <c r="H1" t="s">
        <v>84</v>
      </c>
      <c r="I1" t="s">
        <v>85</v>
      </c>
    </row>
    <row r="2" spans="1:9" x14ac:dyDescent="0.3">
      <c r="A2" t="s">
        <v>83</v>
      </c>
      <c r="B2" t="s">
        <v>47</v>
      </c>
      <c r="C2" t="s">
        <v>81</v>
      </c>
      <c r="D2" s="1">
        <v>45294</v>
      </c>
      <c r="E2">
        <v>644.54</v>
      </c>
      <c r="F2" t="s">
        <v>6</v>
      </c>
      <c r="G2">
        <v>1009</v>
      </c>
      <c r="H2" s="1">
        <v>45421</v>
      </c>
      <c r="I2" s="1"/>
    </row>
    <row r="3" spans="1:9" x14ac:dyDescent="0.3">
      <c r="A3" t="s">
        <v>83</v>
      </c>
      <c r="B3" t="s">
        <v>47</v>
      </c>
      <c r="C3" t="s">
        <v>81</v>
      </c>
      <c r="D3" s="1">
        <v>45294</v>
      </c>
      <c r="E3">
        <v>644.54</v>
      </c>
      <c r="F3" t="s">
        <v>6</v>
      </c>
      <c r="G3">
        <v>1003</v>
      </c>
      <c r="H3" s="1">
        <v>45417</v>
      </c>
      <c r="I3" s="1"/>
    </row>
    <row r="4" spans="1:9" x14ac:dyDescent="0.3">
      <c r="A4" t="s">
        <v>83</v>
      </c>
      <c r="B4" t="s">
        <v>47</v>
      </c>
      <c r="C4" t="s">
        <v>81</v>
      </c>
      <c r="D4" s="1">
        <v>45294</v>
      </c>
      <c r="E4">
        <v>644.54</v>
      </c>
      <c r="F4" t="s">
        <v>6</v>
      </c>
      <c r="G4">
        <v>1001</v>
      </c>
      <c r="H4" s="1">
        <v>45297</v>
      </c>
      <c r="I4" s="1"/>
    </row>
    <row r="5" spans="1:9" x14ac:dyDescent="0.3">
      <c r="A5" t="s">
        <v>64</v>
      </c>
      <c r="B5" t="s">
        <v>65</v>
      </c>
      <c r="C5" t="s">
        <v>66</v>
      </c>
      <c r="D5" s="1">
        <v>44979</v>
      </c>
      <c r="E5">
        <v>1134.1600000000001</v>
      </c>
      <c r="F5" t="s">
        <v>22</v>
      </c>
      <c r="G5">
        <v>1008</v>
      </c>
      <c r="H5" s="1">
        <v>45930</v>
      </c>
      <c r="I5" s="1">
        <v>45935</v>
      </c>
    </row>
    <row r="6" spans="1:9" x14ac:dyDescent="0.3">
      <c r="A6" t="s">
        <v>69</v>
      </c>
      <c r="B6" t="s">
        <v>65</v>
      </c>
      <c r="C6" t="s">
        <v>70</v>
      </c>
      <c r="D6" s="1">
        <v>44621</v>
      </c>
      <c r="E6">
        <v>750.91</v>
      </c>
      <c r="F6" t="s">
        <v>6</v>
      </c>
      <c r="G6">
        <v>1005</v>
      </c>
      <c r="H6" s="1">
        <v>45743</v>
      </c>
      <c r="I6" s="1">
        <v>45868</v>
      </c>
    </row>
    <row r="7" spans="1:9" x14ac:dyDescent="0.3">
      <c r="A7" t="s">
        <v>69</v>
      </c>
      <c r="B7" t="s">
        <v>65</v>
      </c>
      <c r="C7" t="s">
        <v>70</v>
      </c>
      <c r="D7" s="1">
        <v>44621</v>
      </c>
      <c r="E7">
        <v>750.91</v>
      </c>
      <c r="F7" t="s">
        <v>6</v>
      </c>
      <c r="G7">
        <v>1008</v>
      </c>
      <c r="H7" s="1">
        <v>45375</v>
      </c>
      <c r="I7" s="1"/>
    </row>
    <row r="8" spans="1:9" x14ac:dyDescent="0.3">
      <c r="A8" t="s">
        <v>35</v>
      </c>
      <c r="B8" t="s">
        <v>36</v>
      </c>
      <c r="C8" t="s">
        <v>37</v>
      </c>
      <c r="D8" s="1">
        <v>45782</v>
      </c>
      <c r="E8">
        <v>1007.88</v>
      </c>
      <c r="F8" t="s">
        <v>22</v>
      </c>
      <c r="G8">
        <v>1003</v>
      </c>
      <c r="H8" s="1">
        <v>45827</v>
      </c>
      <c r="I8" s="1">
        <v>45908</v>
      </c>
    </row>
    <row r="9" spans="1:9" x14ac:dyDescent="0.3">
      <c r="A9" t="s">
        <v>58</v>
      </c>
      <c r="B9" t="s">
        <v>39</v>
      </c>
      <c r="C9" t="s">
        <v>40</v>
      </c>
      <c r="D9" s="1">
        <v>45015</v>
      </c>
      <c r="E9">
        <v>1501.06</v>
      </c>
      <c r="F9" t="s">
        <v>6</v>
      </c>
      <c r="G9">
        <v>1010</v>
      </c>
      <c r="H9" s="1">
        <v>45866</v>
      </c>
      <c r="I9" s="1"/>
    </row>
    <row r="10" spans="1:9" x14ac:dyDescent="0.3">
      <c r="A10" t="s">
        <v>58</v>
      </c>
      <c r="B10" t="s">
        <v>39</v>
      </c>
      <c r="C10" t="s">
        <v>40</v>
      </c>
      <c r="D10" s="1">
        <v>45015</v>
      </c>
      <c r="E10">
        <v>1501.06</v>
      </c>
      <c r="F10" t="s">
        <v>6</v>
      </c>
      <c r="G10">
        <v>1002</v>
      </c>
      <c r="H10" s="1">
        <v>45799</v>
      </c>
      <c r="I10" s="1">
        <v>45808</v>
      </c>
    </row>
    <row r="11" spans="1:9" x14ac:dyDescent="0.3">
      <c r="A11" t="s">
        <v>58</v>
      </c>
      <c r="B11" t="s">
        <v>39</v>
      </c>
      <c r="C11" t="s">
        <v>40</v>
      </c>
      <c r="D11" s="1">
        <v>45015</v>
      </c>
      <c r="E11">
        <v>1501.06</v>
      </c>
      <c r="F11" t="s">
        <v>6</v>
      </c>
      <c r="G11">
        <v>1003</v>
      </c>
      <c r="H11" s="1">
        <v>45330</v>
      </c>
      <c r="I11" s="1">
        <v>45817</v>
      </c>
    </row>
    <row r="12" spans="1:9" x14ac:dyDescent="0.3">
      <c r="A12" t="s">
        <v>38</v>
      </c>
      <c r="B12" t="s">
        <v>39</v>
      </c>
      <c r="C12" t="s">
        <v>40</v>
      </c>
      <c r="D12" s="1">
        <v>44503</v>
      </c>
      <c r="E12">
        <v>823.23</v>
      </c>
      <c r="F12" t="s">
        <v>6</v>
      </c>
      <c r="G12">
        <v>1009</v>
      </c>
      <c r="H12" s="1">
        <v>45389</v>
      </c>
      <c r="I12" s="1"/>
    </row>
    <row r="13" spans="1:9" x14ac:dyDescent="0.3">
      <c r="A13" t="s">
        <v>38</v>
      </c>
      <c r="B13" t="s">
        <v>39</v>
      </c>
      <c r="C13" t="s">
        <v>40</v>
      </c>
      <c r="D13" s="1">
        <v>44503</v>
      </c>
      <c r="E13">
        <v>823.23</v>
      </c>
      <c r="F13" t="s">
        <v>6</v>
      </c>
      <c r="G13">
        <v>1006</v>
      </c>
      <c r="H13" s="1">
        <v>45892</v>
      </c>
      <c r="I13" s="1">
        <v>45922</v>
      </c>
    </row>
    <row r="14" spans="1:9" x14ac:dyDescent="0.3">
      <c r="A14" t="s">
        <v>38</v>
      </c>
      <c r="B14" t="s">
        <v>39</v>
      </c>
      <c r="C14" t="s">
        <v>40</v>
      </c>
      <c r="D14" s="1">
        <v>44503</v>
      </c>
      <c r="E14">
        <v>823.23</v>
      </c>
      <c r="F14" t="s">
        <v>6</v>
      </c>
      <c r="G14">
        <v>1012</v>
      </c>
      <c r="H14" s="1">
        <v>45599</v>
      </c>
      <c r="I14" s="1"/>
    </row>
    <row r="15" spans="1:9" x14ac:dyDescent="0.3">
      <c r="A15" t="s">
        <v>41</v>
      </c>
      <c r="B15" t="s">
        <v>42</v>
      </c>
      <c r="C15" t="s">
        <v>43</v>
      </c>
      <c r="D15" s="1">
        <v>45292</v>
      </c>
      <c r="E15">
        <v>1257.96</v>
      </c>
      <c r="F15" t="s">
        <v>22</v>
      </c>
      <c r="G15">
        <v>1012</v>
      </c>
      <c r="H15" s="1">
        <v>45808</v>
      </c>
      <c r="I15" s="1">
        <v>45818</v>
      </c>
    </row>
    <row r="16" spans="1:9" x14ac:dyDescent="0.3">
      <c r="A16" t="s">
        <v>44</v>
      </c>
      <c r="B16" t="s">
        <v>36</v>
      </c>
      <c r="C16" t="s">
        <v>45</v>
      </c>
      <c r="D16" s="1">
        <v>44360</v>
      </c>
      <c r="E16">
        <v>869.09</v>
      </c>
      <c r="F16" t="s">
        <v>10</v>
      </c>
      <c r="G16">
        <v>1001</v>
      </c>
      <c r="H16" s="1">
        <v>45544</v>
      </c>
      <c r="I16" s="1">
        <v>45854</v>
      </c>
    </row>
    <row r="17" spans="1:9" x14ac:dyDescent="0.3">
      <c r="A17" t="s">
        <v>44</v>
      </c>
      <c r="B17" t="s">
        <v>36</v>
      </c>
      <c r="C17" t="s">
        <v>45</v>
      </c>
      <c r="D17" s="1">
        <v>44360</v>
      </c>
      <c r="E17">
        <v>869.09</v>
      </c>
      <c r="F17" t="s">
        <v>10</v>
      </c>
      <c r="G17">
        <v>1001</v>
      </c>
      <c r="H17" s="1">
        <v>45880</v>
      </c>
      <c r="I17" s="1"/>
    </row>
    <row r="18" spans="1:9" x14ac:dyDescent="0.3">
      <c r="A18" t="s">
        <v>49</v>
      </c>
      <c r="B18" t="s">
        <v>36</v>
      </c>
      <c r="C18" t="s">
        <v>37</v>
      </c>
      <c r="D18" s="1">
        <v>45026</v>
      </c>
      <c r="E18">
        <v>1458.02</v>
      </c>
      <c r="F18" t="s">
        <v>22</v>
      </c>
      <c r="G18">
        <v>1011</v>
      </c>
      <c r="H18" s="1">
        <v>45850</v>
      </c>
      <c r="I18" s="1">
        <v>45853</v>
      </c>
    </row>
    <row r="19" spans="1:9" x14ac:dyDescent="0.3">
      <c r="A19" t="s">
        <v>51</v>
      </c>
      <c r="B19" t="s">
        <v>39</v>
      </c>
      <c r="C19" t="s">
        <v>52</v>
      </c>
      <c r="D19" s="1">
        <v>45909</v>
      </c>
      <c r="E19">
        <v>1417.1</v>
      </c>
      <c r="F19" t="s">
        <v>22</v>
      </c>
      <c r="G19">
        <v>1005</v>
      </c>
      <c r="H19" s="1">
        <v>45837</v>
      </c>
      <c r="I19" s="1">
        <v>45898</v>
      </c>
    </row>
    <row r="20" spans="1:9" x14ac:dyDescent="0.3">
      <c r="A20" t="s">
        <v>74</v>
      </c>
      <c r="B20" t="s">
        <v>47</v>
      </c>
      <c r="C20" t="s">
        <v>48</v>
      </c>
      <c r="D20" s="1">
        <v>44945</v>
      </c>
      <c r="E20">
        <v>1246.58</v>
      </c>
      <c r="F20" t="s">
        <v>10</v>
      </c>
      <c r="G20">
        <v>1004</v>
      </c>
      <c r="H20" s="1">
        <v>45523</v>
      </c>
      <c r="I20" s="1"/>
    </row>
    <row r="21" spans="1:9" x14ac:dyDescent="0.3">
      <c r="A21" t="s">
        <v>74</v>
      </c>
      <c r="B21" t="s">
        <v>47</v>
      </c>
      <c r="C21" t="s">
        <v>48</v>
      </c>
      <c r="D21" s="1">
        <v>44945</v>
      </c>
      <c r="E21">
        <v>1246.58</v>
      </c>
      <c r="F21" t="s">
        <v>10</v>
      </c>
      <c r="G21">
        <v>1006</v>
      </c>
      <c r="H21" s="1">
        <v>45630</v>
      </c>
      <c r="I21" s="1">
        <v>45732</v>
      </c>
    </row>
    <row r="22" spans="1:9" x14ac:dyDescent="0.3">
      <c r="A22" t="s">
        <v>74</v>
      </c>
      <c r="B22" t="s">
        <v>47</v>
      </c>
      <c r="C22" t="s">
        <v>48</v>
      </c>
      <c r="D22" s="1">
        <v>44945</v>
      </c>
      <c r="E22">
        <v>1246.58</v>
      </c>
      <c r="F22" t="s">
        <v>10</v>
      </c>
      <c r="G22">
        <v>1003</v>
      </c>
      <c r="H22" s="1">
        <v>45595</v>
      </c>
      <c r="I22" s="1">
        <v>45630</v>
      </c>
    </row>
    <row r="23" spans="1:9" x14ac:dyDescent="0.3">
      <c r="A23" t="s">
        <v>54</v>
      </c>
      <c r="B23" t="s">
        <v>39</v>
      </c>
      <c r="C23" t="s">
        <v>40</v>
      </c>
      <c r="D23" s="1">
        <v>44332</v>
      </c>
      <c r="E23">
        <v>1898.65</v>
      </c>
      <c r="F23" t="s">
        <v>10</v>
      </c>
      <c r="G23">
        <v>1012</v>
      </c>
      <c r="H23" s="1">
        <v>45419</v>
      </c>
      <c r="I23" s="1">
        <v>45470</v>
      </c>
    </row>
    <row r="24" spans="1:9" x14ac:dyDescent="0.3">
      <c r="A24" t="s">
        <v>54</v>
      </c>
      <c r="B24" t="s">
        <v>39</v>
      </c>
      <c r="C24" t="s">
        <v>40</v>
      </c>
      <c r="D24" s="1">
        <v>44332</v>
      </c>
      <c r="E24">
        <v>1898.65</v>
      </c>
      <c r="F24" t="s">
        <v>10</v>
      </c>
      <c r="G24">
        <v>1009</v>
      </c>
      <c r="H24" s="1">
        <v>45319</v>
      </c>
      <c r="I24" s="1">
        <v>45714</v>
      </c>
    </row>
    <row r="25" spans="1:9" x14ac:dyDescent="0.3">
      <c r="A25" t="s">
        <v>75</v>
      </c>
      <c r="B25" t="s">
        <v>36</v>
      </c>
      <c r="C25" t="s">
        <v>45</v>
      </c>
      <c r="D25" s="1">
        <v>44337</v>
      </c>
      <c r="E25">
        <v>1553.15</v>
      </c>
      <c r="F25" t="s">
        <v>10</v>
      </c>
      <c r="G25">
        <v>1002</v>
      </c>
      <c r="H25" s="1">
        <v>45921</v>
      </c>
      <c r="I25" s="1">
        <v>45934</v>
      </c>
    </row>
    <row r="26" spans="1:9" x14ac:dyDescent="0.3">
      <c r="A26" t="s">
        <v>56</v>
      </c>
      <c r="B26" t="s">
        <v>42</v>
      </c>
      <c r="C26" t="s">
        <v>57</v>
      </c>
      <c r="D26" s="1">
        <v>44824</v>
      </c>
      <c r="E26">
        <v>661.44</v>
      </c>
      <c r="F26" t="s">
        <v>22</v>
      </c>
      <c r="G26">
        <v>1010</v>
      </c>
      <c r="H26" s="1">
        <v>45377</v>
      </c>
      <c r="I26" s="1">
        <v>45886</v>
      </c>
    </row>
    <row r="27" spans="1:9" x14ac:dyDescent="0.3">
      <c r="A27" t="s">
        <v>56</v>
      </c>
      <c r="B27" t="s">
        <v>42</v>
      </c>
      <c r="C27" t="s">
        <v>57</v>
      </c>
      <c r="D27" s="1">
        <v>44824</v>
      </c>
      <c r="E27">
        <v>661.44</v>
      </c>
      <c r="F27" t="s">
        <v>22</v>
      </c>
      <c r="G27">
        <v>1002</v>
      </c>
      <c r="H27" s="1">
        <v>45519</v>
      </c>
      <c r="I27" s="1"/>
    </row>
    <row r="28" spans="1:9" x14ac:dyDescent="0.3">
      <c r="A28" t="s">
        <v>67</v>
      </c>
      <c r="B28" t="s">
        <v>29</v>
      </c>
      <c r="C28" t="s">
        <v>34</v>
      </c>
      <c r="D28" s="1">
        <v>45524</v>
      </c>
      <c r="E28">
        <v>1591.98</v>
      </c>
      <c r="F28" t="s">
        <v>10</v>
      </c>
      <c r="G28">
        <v>1002</v>
      </c>
      <c r="H28" s="1">
        <v>45899</v>
      </c>
      <c r="I28" s="1">
        <v>45930</v>
      </c>
    </row>
    <row r="29" spans="1:9" x14ac:dyDescent="0.3">
      <c r="A29" t="s">
        <v>67</v>
      </c>
      <c r="B29" t="s">
        <v>29</v>
      </c>
      <c r="C29" t="s">
        <v>34</v>
      </c>
      <c r="D29" s="1">
        <v>45524</v>
      </c>
      <c r="E29">
        <v>1591.98</v>
      </c>
      <c r="F29" t="s">
        <v>10</v>
      </c>
      <c r="G29">
        <v>1002</v>
      </c>
      <c r="H29" s="1">
        <v>45493</v>
      </c>
      <c r="I29" s="1">
        <v>45663</v>
      </c>
    </row>
    <row r="30" spans="1:9" x14ac:dyDescent="0.3">
      <c r="A30" t="s">
        <v>60</v>
      </c>
      <c r="B30" t="s">
        <v>29</v>
      </c>
      <c r="C30" t="s">
        <v>34</v>
      </c>
      <c r="D30" s="1">
        <v>44839</v>
      </c>
      <c r="E30">
        <v>1688.07</v>
      </c>
      <c r="F30" t="s">
        <v>22</v>
      </c>
      <c r="G30">
        <v>1011</v>
      </c>
      <c r="H30" s="1">
        <v>45568</v>
      </c>
      <c r="I30" s="1">
        <v>45623</v>
      </c>
    </row>
    <row r="31" spans="1:9" x14ac:dyDescent="0.3">
      <c r="A31" t="s">
        <v>77</v>
      </c>
      <c r="B31" t="s">
        <v>36</v>
      </c>
      <c r="C31" t="s">
        <v>78</v>
      </c>
      <c r="D31" s="1">
        <v>45775</v>
      </c>
      <c r="E31">
        <v>1095.6199999999999</v>
      </c>
      <c r="F31" t="s">
        <v>22</v>
      </c>
      <c r="G31">
        <v>1004</v>
      </c>
      <c r="H31" s="1">
        <v>45320</v>
      </c>
      <c r="I31" s="1"/>
    </row>
    <row r="32" spans="1:9" x14ac:dyDescent="0.3">
      <c r="A32" t="s">
        <v>77</v>
      </c>
      <c r="B32" t="s">
        <v>36</v>
      </c>
      <c r="C32" t="s">
        <v>78</v>
      </c>
      <c r="D32" s="1">
        <v>45775</v>
      </c>
      <c r="E32">
        <v>1095.6199999999999</v>
      </c>
      <c r="F32" t="s">
        <v>22</v>
      </c>
      <c r="G32">
        <v>1004</v>
      </c>
      <c r="H32" s="1">
        <v>45336</v>
      </c>
      <c r="I32" s="1"/>
    </row>
    <row r="33" spans="1:9" x14ac:dyDescent="0.3">
      <c r="A33" t="s">
        <v>73</v>
      </c>
      <c r="B33" t="s">
        <v>65</v>
      </c>
      <c r="C33" t="s">
        <v>66</v>
      </c>
      <c r="D33" s="1">
        <v>44766</v>
      </c>
      <c r="E33">
        <v>501.64</v>
      </c>
      <c r="F33" t="s">
        <v>22</v>
      </c>
      <c r="G33">
        <v>1004</v>
      </c>
      <c r="H33" s="1">
        <v>45403</v>
      </c>
      <c r="I33" s="1">
        <v>45839</v>
      </c>
    </row>
    <row r="34" spans="1:9" x14ac:dyDescent="0.3">
      <c r="A34" t="s">
        <v>76</v>
      </c>
      <c r="B34" t="s">
        <v>47</v>
      </c>
      <c r="C34" t="s">
        <v>48</v>
      </c>
      <c r="D34" s="1">
        <v>44647</v>
      </c>
      <c r="E34">
        <v>1629.76</v>
      </c>
      <c r="F34" t="s">
        <v>22</v>
      </c>
      <c r="G34">
        <v>1012</v>
      </c>
      <c r="H34" s="1">
        <v>45792</v>
      </c>
      <c r="I34" s="1">
        <v>45905</v>
      </c>
    </row>
    <row r="35" spans="1:9" x14ac:dyDescent="0.3">
      <c r="A35" t="s">
        <v>76</v>
      </c>
      <c r="B35" t="s">
        <v>47</v>
      </c>
      <c r="C35" t="s">
        <v>48</v>
      </c>
      <c r="D35" s="1">
        <v>44647</v>
      </c>
      <c r="E35">
        <v>1629.76</v>
      </c>
      <c r="F35" t="s">
        <v>22</v>
      </c>
      <c r="G35">
        <v>1005</v>
      </c>
      <c r="H35" s="1">
        <v>45261</v>
      </c>
      <c r="I35" s="1">
        <v>45559</v>
      </c>
    </row>
    <row r="36" spans="1:9" x14ac:dyDescent="0.3">
      <c r="A36" t="s">
        <v>71</v>
      </c>
      <c r="B36" t="s">
        <v>47</v>
      </c>
      <c r="C36" t="s">
        <v>48</v>
      </c>
      <c r="D36" s="1">
        <v>45266</v>
      </c>
      <c r="E36">
        <v>545.46</v>
      </c>
      <c r="F36" t="s">
        <v>6</v>
      </c>
      <c r="G36">
        <v>1005</v>
      </c>
      <c r="H36" s="1">
        <v>45675</v>
      </c>
      <c r="I36" s="1"/>
    </row>
    <row r="37" spans="1:9" x14ac:dyDescent="0.3">
      <c r="A37" t="s">
        <v>79</v>
      </c>
      <c r="B37" t="s">
        <v>36</v>
      </c>
      <c r="C37" t="s">
        <v>45</v>
      </c>
      <c r="D37" s="1">
        <v>44876</v>
      </c>
      <c r="E37">
        <v>1801.36</v>
      </c>
      <c r="F37" t="s">
        <v>22</v>
      </c>
      <c r="G37">
        <v>1003</v>
      </c>
      <c r="H37" s="1">
        <v>45508</v>
      </c>
      <c r="I37" s="1">
        <v>45871</v>
      </c>
    </row>
    <row r="38" spans="1:9" x14ac:dyDescent="0.3">
      <c r="A38" t="s">
        <v>55</v>
      </c>
      <c r="B38" t="s">
        <v>36</v>
      </c>
      <c r="C38" t="s">
        <v>45</v>
      </c>
      <c r="D38" s="1">
        <v>44258</v>
      </c>
      <c r="E38">
        <v>1415.97</v>
      </c>
      <c r="F38" t="s">
        <v>10</v>
      </c>
      <c r="G38">
        <v>1001</v>
      </c>
      <c r="H38" s="1">
        <v>45622</v>
      </c>
      <c r="I38" s="1">
        <v>45719</v>
      </c>
    </row>
    <row r="39" spans="1:9" x14ac:dyDescent="0.3">
      <c r="A39" t="s">
        <v>83</v>
      </c>
      <c r="B39" t="s">
        <v>47</v>
      </c>
      <c r="C39" t="s">
        <v>81</v>
      </c>
      <c r="D39" s="1">
        <v>45294</v>
      </c>
      <c r="E39">
        <v>644.54</v>
      </c>
      <c r="F39" t="s">
        <v>6</v>
      </c>
      <c r="G39">
        <v>1001</v>
      </c>
      <c r="H39" s="1">
        <v>45641</v>
      </c>
      <c r="I39" s="1"/>
    </row>
    <row r="40" spans="1:9" x14ac:dyDescent="0.3">
      <c r="A40" t="s">
        <v>35</v>
      </c>
      <c r="B40" t="s">
        <v>36</v>
      </c>
      <c r="C40" t="s">
        <v>37</v>
      </c>
      <c r="D40" s="1">
        <v>45782</v>
      </c>
      <c r="E40">
        <v>1007.88</v>
      </c>
      <c r="F40" t="s">
        <v>22</v>
      </c>
      <c r="G40">
        <v>1001</v>
      </c>
      <c r="H40" s="1">
        <v>45880</v>
      </c>
      <c r="I40" s="1">
        <v>45881</v>
      </c>
    </row>
    <row r="41" spans="1:9" x14ac:dyDescent="0.3">
      <c r="A41" t="s">
        <v>80</v>
      </c>
      <c r="B41" t="s">
        <v>47</v>
      </c>
      <c r="C41" t="s">
        <v>81</v>
      </c>
      <c r="D41" s="1">
        <v>44623</v>
      </c>
      <c r="E41">
        <v>1212.29</v>
      </c>
      <c r="F41" t="s">
        <v>6</v>
      </c>
      <c r="G41">
        <v>1009</v>
      </c>
      <c r="H41" s="1">
        <v>45740</v>
      </c>
      <c r="I41" s="1">
        <v>45784</v>
      </c>
    </row>
    <row r="42" spans="1:9" x14ac:dyDescent="0.3">
      <c r="A42" t="s">
        <v>80</v>
      </c>
      <c r="B42" t="s">
        <v>47</v>
      </c>
      <c r="C42" t="s">
        <v>81</v>
      </c>
      <c r="D42" s="1">
        <v>44623</v>
      </c>
      <c r="E42">
        <v>1212.29</v>
      </c>
      <c r="F42" t="s">
        <v>6</v>
      </c>
      <c r="G42">
        <v>1002</v>
      </c>
      <c r="H42" s="1">
        <v>45741</v>
      </c>
      <c r="I42" s="1"/>
    </row>
    <row r="43" spans="1:9" x14ac:dyDescent="0.3">
      <c r="A43" t="s">
        <v>38</v>
      </c>
      <c r="B43" t="s">
        <v>39</v>
      </c>
      <c r="C43" t="s">
        <v>40</v>
      </c>
      <c r="D43" s="1">
        <v>44503</v>
      </c>
      <c r="E43">
        <v>823.23</v>
      </c>
      <c r="F43" t="s">
        <v>6</v>
      </c>
      <c r="G43">
        <v>1010</v>
      </c>
      <c r="H43" s="1">
        <v>45899</v>
      </c>
      <c r="I43" s="1">
        <v>45925</v>
      </c>
    </row>
    <row r="44" spans="1:9" x14ac:dyDescent="0.3">
      <c r="A44" t="s">
        <v>58</v>
      </c>
      <c r="B44" t="s">
        <v>39</v>
      </c>
      <c r="C44" t="s">
        <v>40</v>
      </c>
      <c r="D44" s="1">
        <v>45015</v>
      </c>
      <c r="E44">
        <v>1501.06</v>
      </c>
      <c r="F44" t="s">
        <v>6</v>
      </c>
      <c r="G44">
        <v>1007</v>
      </c>
      <c r="H44" s="1">
        <v>45795</v>
      </c>
      <c r="I44" s="1">
        <v>45846</v>
      </c>
    </row>
    <row r="45" spans="1:9" x14ac:dyDescent="0.3">
      <c r="A45" t="s">
        <v>58</v>
      </c>
      <c r="B45" t="s">
        <v>39</v>
      </c>
      <c r="C45" t="s">
        <v>40</v>
      </c>
      <c r="D45" s="1">
        <v>45015</v>
      </c>
      <c r="E45">
        <v>1501.06</v>
      </c>
      <c r="F45" t="s">
        <v>6</v>
      </c>
      <c r="G45">
        <v>1010</v>
      </c>
      <c r="H45" s="1">
        <v>45808</v>
      </c>
      <c r="I45" s="1">
        <v>45932</v>
      </c>
    </row>
    <row r="46" spans="1:9" x14ac:dyDescent="0.3">
      <c r="A46" t="s">
        <v>41</v>
      </c>
      <c r="B46" t="s">
        <v>42</v>
      </c>
      <c r="C46" t="s">
        <v>43</v>
      </c>
      <c r="D46" s="1">
        <v>45292</v>
      </c>
      <c r="E46">
        <v>1257.96</v>
      </c>
      <c r="F46" t="s">
        <v>22</v>
      </c>
      <c r="G46">
        <v>1007</v>
      </c>
      <c r="H46" s="1">
        <v>45476</v>
      </c>
      <c r="I46" s="1"/>
    </row>
    <row r="47" spans="1:9" x14ac:dyDescent="0.3">
      <c r="A47" t="s">
        <v>28</v>
      </c>
      <c r="B47" t="s">
        <v>29</v>
      </c>
      <c r="C47" t="s">
        <v>30</v>
      </c>
      <c r="D47" s="1">
        <v>44937</v>
      </c>
      <c r="E47">
        <v>1342.83</v>
      </c>
      <c r="F47" t="s">
        <v>6</v>
      </c>
      <c r="H47" s="1"/>
      <c r="I47" s="1"/>
    </row>
    <row r="48" spans="1:9" x14ac:dyDescent="0.3">
      <c r="A48" t="s">
        <v>31</v>
      </c>
      <c r="B48" t="s">
        <v>29</v>
      </c>
      <c r="C48" t="s">
        <v>32</v>
      </c>
      <c r="D48" s="1">
        <v>44250</v>
      </c>
      <c r="E48">
        <v>1076.18</v>
      </c>
      <c r="F48" t="s">
        <v>22</v>
      </c>
      <c r="H48" s="1"/>
      <c r="I48" s="1"/>
    </row>
    <row r="49" spans="1:9" x14ac:dyDescent="0.3">
      <c r="A49" t="s">
        <v>33</v>
      </c>
      <c r="B49" t="s">
        <v>29</v>
      </c>
      <c r="C49" t="s">
        <v>34</v>
      </c>
      <c r="D49" s="1">
        <v>45543</v>
      </c>
      <c r="E49">
        <v>1931.54</v>
      </c>
      <c r="F49" t="s">
        <v>22</v>
      </c>
      <c r="H49" s="1"/>
      <c r="I49" s="1"/>
    </row>
    <row r="50" spans="1:9" x14ac:dyDescent="0.3">
      <c r="A50" t="s">
        <v>46</v>
      </c>
      <c r="B50" t="s">
        <v>47</v>
      </c>
      <c r="C50" t="s">
        <v>48</v>
      </c>
      <c r="D50" s="1">
        <v>45831</v>
      </c>
      <c r="E50">
        <v>1323.76</v>
      </c>
      <c r="F50" t="s">
        <v>10</v>
      </c>
      <c r="H50" s="1"/>
      <c r="I50" s="1"/>
    </row>
    <row r="51" spans="1:9" x14ac:dyDescent="0.3">
      <c r="A51" t="s">
        <v>50</v>
      </c>
      <c r="B51" t="s">
        <v>36</v>
      </c>
      <c r="C51" t="s">
        <v>37</v>
      </c>
      <c r="D51" s="1">
        <v>45239</v>
      </c>
      <c r="E51">
        <v>1786.37</v>
      </c>
      <c r="F51" t="s">
        <v>22</v>
      </c>
      <c r="H51" s="1"/>
      <c r="I51" s="1"/>
    </row>
    <row r="52" spans="1:9" x14ac:dyDescent="0.3">
      <c r="A52" t="s">
        <v>53</v>
      </c>
      <c r="B52" t="s">
        <v>29</v>
      </c>
      <c r="C52" t="s">
        <v>30</v>
      </c>
      <c r="D52" s="1">
        <v>44713</v>
      </c>
      <c r="E52">
        <v>968.43</v>
      </c>
      <c r="F52" t="s">
        <v>10</v>
      </c>
      <c r="H52" s="1"/>
      <c r="I52" s="1"/>
    </row>
    <row r="53" spans="1:9" x14ac:dyDescent="0.3">
      <c r="A53" t="s">
        <v>59</v>
      </c>
      <c r="B53" t="s">
        <v>42</v>
      </c>
      <c r="C53" t="s">
        <v>43</v>
      </c>
      <c r="D53" s="1">
        <v>44363</v>
      </c>
      <c r="E53">
        <v>1748.56</v>
      </c>
      <c r="F53" t="s">
        <v>6</v>
      </c>
      <c r="H53" s="1"/>
      <c r="I53" s="1"/>
    </row>
    <row r="54" spans="1:9" x14ac:dyDescent="0.3">
      <c r="A54" t="s">
        <v>61</v>
      </c>
      <c r="B54" t="s">
        <v>39</v>
      </c>
      <c r="C54" t="s">
        <v>62</v>
      </c>
      <c r="D54" s="1">
        <v>44429</v>
      </c>
      <c r="E54">
        <v>737.57</v>
      </c>
      <c r="F54" t="s">
        <v>10</v>
      </c>
      <c r="H54" s="1"/>
      <c r="I54" s="1"/>
    </row>
    <row r="55" spans="1:9" x14ac:dyDescent="0.3">
      <c r="A55" t="s">
        <v>63</v>
      </c>
      <c r="B55" t="s">
        <v>42</v>
      </c>
      <c r="C55" t="s">
        <v>43</v>
      </c>
      <c r="D55" s="1">
        <v>45297</v>
      </c>
      <c r="E55">
        <v>740.2</v>
      </c>
      <c r="F55" t="s">
        <v>22</v>
      </c>
      <c r="H55" s="1"/>
      <c r="I55" s="1"/>
    </row>
    <row r="56" spans="1:9" x14ac:dyDescent="0.3">
      <c r="A56" t="s">
        <v>68</v>
      </c>
      <c r="B56" t="s">
        <v>39</v>
      </c>
      <c r="C56" t="s">
        <v>40</v>
      </c>
      <c r="D56" s="1">
        <v>45249</v>
      </c>
      <c r="E56">
        <v>1335.34</v>
      </c>
      <c r="F56" t="s">
        <v>10</v>
      </c>
      <c r="H56" s="1"/>
      <c r="I56" s="1"/>
    </row>
    <row r="57" spans="1:9" x14ac:dyDescent="0.3">
      <c r="A57" t="s">
        <v>72</v>
      </c>
      <c r="B57" t="s">
        <v>36</v>
      </c>
      <c r="C57" t="s">
        <v>37</v>
      </c>
      <c r="D57" s="1">
        <v>45219</v>
      </c>
      <c r="E57">
        <v>1403.91</v>
      </c>
      <c r="F57" t="s">
        <v>10</v>
      </c>
      <c r="H57" s="1"/>
      <c r="I57" s="1"/>
    </row>
    <row r="58" spans="1:9" x14ac:dyDescent="0.3">
      <c r="A58" t="s">
        <v>82</v>
      </c>
      <c r="B58" t="s">
        <v>42</v>
      </c>
      <c r="C58" t="s">
        <v>43</v>
      </c>
      <c r="D58" s="1">
        <v>45552</v>
      </c>
      <c r="E58">
        <v>1746.67</v>
      </c>
      <c r="F58" t="s">
        <v>10</v>
      </c>
      <c r="H58" s="1"/>
      <c r="I58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E2C1-4C61-4A3F-9049-5574EBFF0A3C}">
  <dimension ref="A1:G46"/>
  <sheetViews>
    <sheetView workbookViewId="0">
      <selection activeCell="B2" sqref="B2"/>
    </sheetView>
  </sheetViews>
  <sheetFormatPr defaultRowHeight="14.4" x14ac:dyDescent="0.3"/>
  <cols>
    <col min="1" max="1" width="16" bestFit="1" customWidth="1"/>
    <col min="2" max="2" width="15" bestFit="1" customWidth="1"/>
    <col min="3" max="3" width="13.21875" bestFit="1" customWidth="1"/>
    <col min="4" max="4" width="14.33203125" bestFit="1" customWidth="1"/>
    <col min="5" max="5" width="31.44140625" bestFit="1" customWidth="1"/>
    <col min="6" max="6" width="11.109375" bestFit="1" customWidth="1"/>
    <col min="7" max="7" width="10.44140625" bestFit="1" customWidth="1"/>
  </cols>
  <sheetData>
    <row r="1" spans="1:7" x14ac:dyDescent="0.3">
      <c r="A1" t="s">
        <v>23</v>
      </c>
      <c r="B1" t="s">
        <v>0</v>
      </c>
      <c r="C1" t="s">
        <v>84</v>
      </c>
      <c r="D1" t="s">
        <v>85</v>
      </c>
      <c r="E1" t="s">
        <v>1</v>
      </c>
      <c r="F1" t="s">
        <v>2</v>
      </c>
      <c r="G1" t="s">
        <v>3</v>
      </c>
    </row>
    <row r="2" spans="1:7" x14ac:dyDescent="0.3">
      <c r="A2" t="s">
        <v>83</v>
      </c>
      <c r="B2">
        <v>1009</v>
      </c>
      <c r="C2" s="1">
        <v>45421</v>
      </c>
      <c r="D2" s="1"/>
      <c r="E2" t="s">
        <v>17</v>
      </c>
      <c r="F2" t="s">
        <v>18</v>
      </c>
      <c r="G2" t="s">
        <v>10</v>
      </c>
    </row>
    <row r="3" spans="1:7" x14ac:dyDescent="0.3">
      <c r="A3" t="s">
        <v>38</v>
      </c>
      <c r="B3">
        <v>1009</v>
      </c>
      <c r="C3" s="1">
        <v>45389</v>
      </c>
      <c r="D3" s="1"/>
      <c r="E3" t="s">
        <v>17</v>
      </c>
      <c r="F3" t="s">
        <v>18</v>
      </c>
      <c r="G3" t="s">
        <v>10</v>
      </c>
    </row>
    <row r="4" spans="1:7" x14ac:dyDescent="0.3">
      <c r="A4" t="s">
        <v>64</v>
      </c>
      <c r="B4">
        <v>1008</v>
      </c>
      <c r="C4" s="1">
        <v>45930</v>
      </c>
      <c r="D4" s="1">
        <v>45935</v>
      </c>
      <c r="E4" t="s">
        <v>16</v>
      </c>
      <c r="F4" t="s">
        <v>5</v>
      </c>
      <c r="G4" t="s">
        <v>10</v>
      </c>
    </row>
    <row r="5" spans="1:7" x14ac:dyDescent="0.3">
      <c r="A5" t="s">
        <v>69</v>
      </c>
      <c r="B5">
        <v>1008</v>
      </c>
      <c r="C5" s="1">
        <v>45375</v>
      </c>
      <c r="D5" s="1"/>
      <c r="E5" t="s">
        <v>16</v>
      </c>
      <c r="F5" t="s">
        <v>5</v>
      </c>
      <c r="G5" t="s">
        <v>10</v>
      </c>
    </row>
    <row r="6" spans="1:7" x14ac:dyDescent="0.3">
      <c r="A6" t="s">
        <v>75</v>
      </c>
      <c r="B6">
        <v>1002</v>
      </c>
      <c r="C6" s="1">
        <v>45921</v>
      </c>
      <c r="D6" s="1">
        <v>45934</v>
      </c>
      <c r="E6" t="s">
        <v>7</v>
      </c>
      <c r="F6" t="s">
        <v>5</v>
      </c>
      <c r="G6" t="s">
        <v>6</v>
      </c>
    </row>
    <row r="7" spans="1:7" x14ac:dyDescent="0.3">
      <c r="A7" t="s">
        <v>69</v>
      </c>
      <c r="B7">
        <v>1005</v>
      </c>
      <c r="C7" s="1">
        <v>45743</v>
      </c>
      <c r="D7" s="1">
        <v>45868</v>
      </c>
      <c r="E7" t="s">
        <v>13</v>
      </c>
      <c r="F7" t="s">
        <v>12</v>
      </c>
      <c r="G7" t="s">
        <v>6</v>
      </c>
    </row>
    <row r="8" spans="1:7" x14ac:dyDescent="0.3">
      <c r="A8" t="s">
        <v>51</v>
      </c>
      <c r="B8">
        <v>1005</v>
      </c>
      <c r="C8" s="1">
        <v>45837</v>
      </c>
      <c r="D8" s="1">
        <v>45898</v>
      </c>
      <c r="E8" t="s">
        <v>13</v>
      </c>
      <c r="F8" t="s">
        <v>12</v>
      </c>
      <c r="G8" t="s">
        <v>6</v>
      </c>
    </row>
    <row r="9" spans="1:7" x14ac:dyDescent="0.3">
      <c r="A9" t="s">
        <v>58</v>
      </c>
      <c r="B9">
        <v>1010</v>
      </c>
      <c r="C9" s="1">
        <v>45866</v>
      </c>
      <c r="D9" s="1"/>
      <c r="E9" t="s">
        <v>19</v>
      </c>
      <c r="F9" t="s">
        <v>5</v>
      </c>
      <c r="G9" t="s">
        <v>10</v>
      </c>
    </row>
    <row r="10" spans="1:7" x14ac:dyDescent="0.3">
      <c r="A10" t="s">
        <v>74</v>
      </c>
      <c r="B10">
        <v>1004</v>
      </c>
      <c r="C10" s="1">
        <v>45523</v>
      </c>
      <c r="D10" s="1"/>
      <c r="E10" t="s">
        <v>11</v>
      </c>
      <c r="F10" t="s">
        <v>12</v>
      </c>
      <c r="G10" t="s">
        <v>10</v>
      </c>
    </row>
    <row r="11" spans="1:7" x14ac:dyDescent="0.3">
      <c r="A11" t="s">
        <v>41</v>
      </c>
      <c r="B11">
        <v>1012</v>
      </c>
      <c r="C11" s="1">
        <v>45808</v>
      </c>
      <c r="D11" s="1">
        <v>45818</v>
      </c>
      <c r="E11" t="s">
        <v>21</v>
      </c>
      <c r="F11" t="s">
        <v>5</v>
      </c>
      <c r="G11" t="s">
        <v>22</v>
      </c>
    </row>
    <row r="12" spans="1:7" x14ac:dyDescent="0.3">
      <c r="A12" t="s">
        <v>54</v>
      </c>
      <c r="B12">
        <v>1012</v>
      </c>
      <c r="C12" s="1">
        <v>45419</v>
      </c>
      <c r="D12" s="1">
        <v>45470</v>
      </c>
      <c r="E12" t="s">
        <v>21</v>
      </c>
      <c r="F12" t="s">
        <v>5</v>
      </c>
      <c r="G12" t="s">
        <v>22</v>
      </c>
    </row>
    <row r="13" spans="1:7" x14ac:dyDescent="0.3">
      <c r="A13" t="s">
        <v>38</v>
      </c>
      <c r="B13">
        <v>1006</v>
      </c>
      <c r="C13" s="1">
        <v>45892</v>
      </c>
      <c r="D13" s="1">
        <v>45922</v>
      </c>
      <c r="E13" t="s">
        <v>14</v>
      </c>
      <c r="F13" t="s">
        <v>12</v>
      </c>
      <c r="G13" t="s">
        <v>10</v>
      </c>
    </row>
    <row r="14" spans="1:7" x14ac:dyDescent="0.3">
      <c r="A14" t="s">
        <v>49</v>
      </c>
      <c r="B14">
        <v>1011</v>
      </c>
      <c r="C14" s="1">
        <v>45850</v>
      </c>
      <c r="D14" s="1">
        <v>45853</v>
      </c>
      <c r="E14" t="s">
        <v>20</v>
      </c>
      <c r="F14" t="s">
        <v>5</v>
      </c>
      <c r="G14" t="s">
        <v>10</v>
      </c>
    </row>
    <row r="15" spans="1:7" x14ac:dyDescent="0.3">
      <c r="A15" t="s">
        <v>56</v>
      </c>
      <c r="B15">
        <v>1010</v>
      </c>
      <c r="C15" s="1">
        <v>45377</v>
      </c>
      <c r="D15" s="1">
        <v>45886</v>
      </c>
      <c r="E15" t="s">
        <v>19</v>
      </c>
      <c r="F15" t="s">
        <v>5</v>
      </c>
      <c r="G15" t="s">
        <v>10</v>
      </c>
    </row>
    <row r="16" spans="1:7" x14ac:dyDescent="0.3">
      <c r="A16" t="s">
        <v>38</v>
      </c>
      <c r="B16">
        <v>1012</v>
      </c>
      <c r="C16" s="1">
        <v>45599</v>
      </c>
      <c r="D16" s="1"/>
      <c r="E16" t="s">
        <v>21</v>
      </c>
      <c r="F16" t="s">
        <v>5</v>
      </c>
      <c r="G16" t="s">
        <v>22</v>
      </c>
    </row>
    <row r="17" spans="1:7" x14ac:dyDescent="0.3">
      <c r="A17" t="s">
        <v>56</v>
      </c>
      <c r="B17">
        <v>1002</v>
      </c>
      <c r="C17" s="1">
        <v>45519</v>
      </c>
      <c r="D17" s="1"/>
      <c r="E17" t="s">
        <v>7</v>
      </c>
      <c r="F17" t="s">
        <v>5</v>
      </c>
      <c r="G17" t="s">
        <v>6</v>
      </c>
    </row>
    <row r="18" spans="1:7" x14ac:dyDescent="0.3">
      <c r="A18" t="s">
        <v>67</v>
      </c>
      <c r="B18">
        <v>1002</v>
      </c>
      <c r="C18" s="1">
        <v>45899</v>
      </c>
      <c r="D18" s="1">
        <v>45930</v>
      </c>
      <c r="E18" t="s">
        <v>7</v>
      </c>
      <c r="F18" t="s">
        <v>5</v>
      </c>
      <c r="G18" t="s">
        <v>6</v>
      </c>
    </row>
    <row r="19" spans="1:7" x14ac:dyDescent="0.3">
      <c r="A19" t="s">
        <v>60</v>
      </c>
      <c r="B19">
        <v>1011</v>
      </c>
      <c r="C19" s="1">
        <v>45568</v>
      </c>
      <c r="D19" s="1">
        <v>45623</v>
      </c>
      <c r="E19" t="s">
        <v>20</v>
      </c>
      <c r="F19" t="s">
        <v>5</v>
      </c>
      <c r="G19" t="s">
        <v>10</v>
      </c>
    </row>
    <row r="20" spans="1:7" x14ac:dyDescent="0.3">
      <c r="A20" t="s">
        <v>83</v>
      </c>
      <c r="B20">
        <v>1003</v>
      </c>
      <c r="C20" s="1">
        <v>45417</v>
      </c>
      <c r="D20" s="1"/>
      <c r="E20" t="s">
        <v>8</v>
      </c>
      <c r="F20" t="s">
        <v>9</v>
      </c>
      <c r="G20" t="s">
        <v>10</v>
      </c>
    </row>
    <row r="21" spans="1:7" x14ac:dyDescent="0.3">
      <c r="A21" t="s">
        <v>77</v>
      </c>
      <c r="B21">
        <v>1004</v>
      </c>
      <c r="C21" s="1">
        <v>45320</v>
      </c>
      <c r="D21" s="1"/>
      <c r="E21" t="s">
        <v>11</v>
      </c>
      <c r="F21" t="s">
        <v>12</v>
      </c>
      <c r="G21" t="s">
        <v>10</v>
      </c>
    </row>
    <row r="22" spans="1:7" x14ac:dyDescent="0.3">
      <c r="A22" t="s">
        <v>73</v>
      </c>
      <c r="B22">
        <v>1004</v>
      </c>
      <c r="C22" s="1">
        <v>45403</v>
      </c>
      <c r="D22" s="1">
        <v>45839</v>
      </c>
      <c r="E22" t="s">
        <v>11</v>
      </c>
      <c r="F22" t="s">
        <v>12</v>
      </c>
      <c r="G22" t="s">
        <v>10</v>
      </c>
    </row>
    <row r="23" spans="1:7" x14ac:dyDescent="0.3">
      <c r="A23" t="s">
        <v>74</v>
      </c>
      <c r="B23">
        <v>1006</v>
      </c>
      <c r="C23" s="1">
        <v>45630</v>
      </c>
      <c r="D23" s="1">
        <v>45732</v>
      </c>
      <c r="E23" t="s">
        <v>14</v>
      </c>
      <c r="F23" t="s">
        <v>12</v>
      </c>
      <c r="G23" t="s">
        <v>10</v>
      </c>
    </row>
    <row r="24" spans="1:7" x14ac:dyDescent="0.3">
      <c r="A24" t="s">
        <v>76</v>
      </c>
      <c r="B24">
        <v>1012</v>
      </c>
      <c r="C24" s="1">
        <v>45792</v>
      </c>
      <c r="D24" s="1">
        <v>45905</v>
      </c>
      <c r="E24" t="s">
        <v>21</v>
      </c>
      <c r="F24" t="s">
        <v>5</v>
      </c>
      <c r="G24" t="s">
        <v>22</v>
      </c>
    </row>
    <row r="25" spans="1:7" x14ac:dyDescent="0.3">
      <c r="A25" t="s">
        <v>44</v>
      </c>
      <c r="B25">
        <v>1001</v>
      </c>
      <c r="C25" s="1">
        <v>45544</v>
      </c>
      <c r="D25" s="1">
        <v>45854</v>
      </c>
      <c r="E25" t="s">
        <v>4</v>
      </c>
      <c r="F25" t="s">
        <v>5</v>
      </c>
      <c r="G25" t="s">
        <v>6</v>
      </c>
    </row>
    <row r="26" spans="1:7" x14ac:dyDescent="0.3">
      <c r="A26" t="s">
        <v>67</v>
      </c>
      <c r="B26">
        <v>1002</v>
      </c>
      <c r="C26" s="1">
        <v>45493</v>
      </c>
      <c r="D26" s="1">
        <v>45663</v>
      </c>
      <c r="E26" t="s">
        <v>7</v>
      </c>
      <c r="F26" t="s">
        <v>5</v>
      </c>
      <c r="G26" t="s">
        <v>6</v>
      </c>
    </row>
    <row r="27" spans="1:7" x14ac:dyDescent="0.3">
      <c r="A27" t="s">
        <v>54</v>
      </c>
      <c r="B27">
        <v>1009</v>
      </c>
      <c r="C27" s="1">
        <v>45319</v>
      </c>
      <c r="D27" s="1">
        <v>45714</v>
      </c>
      <c r="E27" t="s">
        <v>17</v>
      </c>
      <c r="F27" t="s">
        <v>18</v>
      </c>
      <c r="G27" t="s">
        <v>10</v>
      </c>
    </row>
    <row r="28" spans="1:7" x14ac:dyDescent="0.3">
      <c r="A28" t="s">
        <v>74</v>
      </c>
      <c r="B28">
        <v>1003</v>
      </c>
      <c r="C28" s="1">
        <v>45595</v>
      </c>
      <c r="D28" s="1">
        <v>45630</v>
      </c>
      <c r="E28" t="s">
        <v>8</v>
      </c>
      <c r="F28" t="s">
        <v>9</v>
      </c>
      <c r="G28" t="s">
        <v>10</v>
      </c>
    </row>
    <row r="29" spans="1:7" x14ac:dyDescent="0.3">
      <c r="A29" t="s">
        <v>58</v>
      </c>
      <c r="B29">
        <v>1002</v>
      </c>
      <c r="C29" s="1">
        <v>45799</v>
      </c>
      <c r="D29" s="1">
        <v>45808</v>
      </c>
      <c r="E29" t="s">
        <v>7</v>
      </c>
      <c r="F29" t="s">
        <v>5</v>
      </c>
      <c r="G29" t="s">
        <v>6</v>
      </c>
    </row>
    <row r="30" spans="1:7" x14ac:dyDescent="0.3">
      <c r="A30" t="s">
        <v>44</v>
      </c>
      <c r="B30">
        <v>1001</v>
      </c>
      <c r="C30" s="1">
        <v>45880</v>
      </c>
      <c r="D30" s="1"/>
      <c r="E30" t="s">
        <v>4</v>
      </c>
      <c r="F30" t="s">
        <v>5</v>
      </c>
      <c r="G30" t="s">
        <v>6</v>
      </c>
    </row>
    <row r="31" spans="1:7" x14ac:dyDescent="0.3">
      <c r="A31" t="s">
        <v>83</v>
      </c>
      <c r="B31">
        <v>1001</v>
      </c>
      <c r="C31" s="1">
        <v>45297</v>
      </c>
      <c r="D31" s="1"/>
      <c r="E31" t="s">
        <v>4</v>
      </c>
      <c r="F31" t="s">
        <v>5</v>
      </c>
      <c r="G31" t="s">
        <v>6</v>
      </c>
    </row>
    <row r="32" spans="1:7" x14ac:dyDescent="0.3">
      <c r="A32" t="s">
        <v>58</v>
      </c>
      <c r="B32">
        <v>1003</v>
      </c>
      <c r="C32" s="1">
        <v>45330</v>
      </c>
      <c r="D32" s="1">
        <v>45817</v>
      </c>
      <c r="E32" t="s">
        <v>8</v>
      </c>
      <c r="F32" t="s">
        <v>9</v>
      </c>
      <c r="G32" t="s">
        <v>10</v>
      </c>
    </row>
    <row r="33" spans="1:7" x14ac:dyDescent="0.3">
      <c r="A33" t="s">
        <v>77</v>
      </c>
      <c r="B33">
        <v>1004</v>
      </c>
      <c r="C33" s="1">
        <v>45336</v>
      </c>
      <c r="D33" s="1"/>
      <c r="E33" t="s">
        <v>11</v>
      </c>
      <c r="F33" t="s">
        <v>12</v>
      </c>
      <c r="G33" t="s">
        <v>10</v>
      </c>
    </row>
    <row r="34" spans="1:7" x14ac:dyDescent="0.3">
      <c r="A34" t="s">
        <v>35</v>
      </c>
      <c r="B34">
        <v>1003</v>
      </c>
      <c r="C34" s="1">
        <v>45827</v>
      </c>
      <c r="D34" s="1">
        <v>45908</v>
      </c>
      <c r="E34" t="s">
        <v>8</v>
      </c>
      <c r="F34" t="s">
        <v>9</v>
      </c>
      <c r="G34" t="s">
        <v>10</v>
      </c>
    </row>
    <row r="35" spans="1:7" x14ac:dyDescent="0.3">
      <c r="A35" t="s">
        <v>71</v>
      </c>
      <c r="B35">
        <v>1005</v>
      </c>
      <c r="C35" s="1">
        <v>45675</v>
      </c>
      <c r="D35" s="1"/>
      <c r="E35" t="s">
        <v>13</v>
      </c>
      <c r="F35" t="s">
        <v>12</v>
      </c>
      <c r="G35" t="s">
        <v>6</v>
      </c>
    </row>
    <row r="36" spans="1:7" x14ac:dyDescent="0.3">
      <c r="A36" t="s">
        <v>76</v>
      </c>
      <c r="B36">
        <v>1005</v>
      </c>
      <c r="C36" s="1">
        <v>45261</v>
      </c>
      <c r="D36" s="1">
        <v>45559</v>
      </c>
      <c r="E36" t="s">
        <v>13</v>
      </c>
      <c r="F36" t="s">
        <v>12</v>
      </c>
      <c r="G36" t="s">
        <v>6</v>
      </c>
    </row>
    <row r="37" spans="1:7" x14ac:dyDescent="0.3">
      <c r="A37" t="s">
        <v>79</v>
      </c>
      <c r="B37">
        <v>1003</v>
      </c>
      <c r="C37" s="1">
        <v>45508</v>
      </c>
      <c r="D37" s="1">
        <v>45871</v>
      </c>
      <c r="E37" t="s">
        <v>8</v>
      </c>
      <c r="F37" t="s">
        <v>9</v>
      </c>
      <c r="G37" t="s">
        <v>10</v>
      </c>
    </row>
    <row r="38" spans="1:7" x14ac:dyDescent="0.3">
      <c r="A38" t="s">
        <v>55</v>
      </c>
      <c r="B38">
        <v>1001</v>
      </c>
      <c r="C38" s="1">
        <v>45622</v>
      </c>
      <c r="D38" s="1">
        <v>45719</v>
      </c>
      <c r="E38" t="s">
        <v>4</v>
      </c>
      <c r="F38" t="s">
        <v>5</v>
      </c>
      <c r="G38" t="s">
        <v>6</v>
      </c>
    </row>
    <row r="39" spans="1:7" x14ac:dyDescent="0.3">
      <c r="A39" t="s">
        <v>83</v>
      </c>
      <c r="B39">
        <v>1001</v>
      </c>
      <c r="C39" s="1">
        <v>45641</v>
      </c>
      <c r="D39" s="1"/>
      <c r="E39" t="s">
        <v>4</v>
      </c>
      <c r="F39" t="s">
        <v>5</v>
      </c>
      <c r="G39" t="s">
        <v>6</v>
      </c>
    </row>
    <row r="40" spans="1:7" x14ac:dyDescent="0.3">
      <c r="A40" t="s">
        <v>35</v>
      </c>
      <c r="B40">
        <v>1001</v>
      </c>
      <c r="C40" s="1">
        <v>45880</v>
      </c>
      <c r="D40" s="1">
        <v>45881</v>
      </c>
      <c r="E40" t="s">
        <v>4</v>
      </c>
      <c r="F40" t="s">
        <v>5</v>
      </c>
      <c r="G40" t="s">
        <v>6</v>
      </c>
    </row>
    <row r="41" spans="1:7" x14ac:dyDescent="0.3">
      <c r="A41" t="s">
        <v>80</v>
      </c>
      <c r="B41">
        <v>1009</v>
      </c>
      <c r="C41" s="1">
        <v>45740</v>
      </c>
      <c r="D41" s="1">
        <v>45784</v>
      </c>
      <c r="E41" t="s">
        <v>17</v>
      </c>
      <c r="F41" t="s">
        <v>18</v>
      </c>
      <c r="G41" t="s">
        <v>10</v>
      </c>
    </row>
    <row r="42" spans="1:7" x14ac:dyDescent="0.3">
      <c r="A42" t="s">
        <v>80</v>
      </c>
      <c r="B42">
        <v>1002</v>
      </c>
      <c r="C42" s="1">
        <v>45741</v>
      </c>
      <c r="D42" s="1"/>
      <c r="E42" t="s">
        <v>7</v>
      </c>
      <c r="F42" t="s">
        <v>5</v>
      </c>
      <c r="G42" t="s">
        <v>6</v>
      </c>
    </row>
    <row r="43" spans="1:7" x14ac:dyDescent="0.3">
      <c r="A43" t="s">
        <v>38</v>
      </c>
      <c r="B43">
        <v>1010</v>
      </c>
      <c r="C43" s="1">
        <v>45899</v>
      </c>
      <c r="D43" s="1">
        <v>45925</v>
      </c>
      <c r="E43" t="s">
        <v>19</v>
      </c>
      <c r="F43" t="s">
        <v>5</v>
      </c>
      <c r="G43" t="s">
        <v>10</v>
      </c>
    </row>
    <row r="44" spans="1:7" x14ac:dyDescent="0.3">
      <c r="A44" t="s">
        <v>58</v>
      </c>
      <c r="B44">
        <v>1007</v>
      </c>
      <c r="C44" s="1">
        <v>45795</v>
      </c>
      <c r="D44" s="1">
        <v>45846</v>
      </c>
      <c r="E44" t="s">
        <v>15</v>
      </c>
      <c r="F44" t="s">
        <v>5</v>
      </c>
      <c r="G44" t="s">
        <v>6</v>
      </c>
    </row>
    <row r="45" spans="1:7" x14ac:dyDescent="0.3">
      <c r="A45" t="s">
        <v>58</v>
      </c>
      <c r="B45">
        <v>1010</v>
      </c>
      <c r="C45" s="1">
        <v>45808</v>
      </c>
      <c r="D45" s="1">
        <v>45932</v>
      </c>
      <c r="E45" t="s">
        <v>19</v>
      </c>
      <c r="F45" t="s">
        <v>5</v>
      </c>
      <c r="G45" t="s">
        <v>10</v>
      </c>
    </row>
    <row r="46" spans="1:7" x14ac:dyDescent="0.3">
      <c r="A46" t="s">
        <v>41</v>
      </c>
      <c r="B46">
        <v>1007</v>
      </c>
      <c r="C46" s="1">
        <v>45476</v>
      </c>
      <c r="D46" s="1"/>
      <c r="E46" t="s">
        <v>15</v>
      </c>
      <c r="F46" t="s">
        <v>5</v>
      </c>
      <c r="G46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C4A2-109D-4874-970A-DBA4BC9903DF}">
  <dimension ref="A1:O58"/>
  <sheetViews>
    <sheetView workbookViewId="0">
      <selection activeCell="C8" sqref="C8"/>
    </sheetView>
  </sheetViews>
  <sheetFormatPr defaultRowHeight="14.4" x14ac:dyDescent="0.3"/>
  <cols>
    <col min="1" max="1" width="16" bestFit="1" customWidth="1"/>
    <col min="2" max="2" width="11.5546875" bestFit="1" customWidth="1"/>
    <col min="3" max="3" width="14.88671875" bestFit="1" customWidth="1"/>
    <col min="4" max="4" width="12.33203125" bestFit="1" customWidth="1"/>
    <col min="5" max="5" width="16.5546875" bestFit="1" customWidth="1"/>
    <col min="6" max="6" width="10.44140625" bestFit="1" customWidth="1"/>
    <col min="7" max="7" width="15" bestFit="1" customWidth="1"/>
    <col min="8" max="8" width="13.21875" bestFit="1" customWidth="1"/>
    <col min="9" max="9" width="14.33203125" bestFit="1" customWidth="1"/>
    <col min="10" max="10" width="31.44140625" bestFit="1" customWidth="1"/>
    <col min="11" max="11" width="11.109375" bestFit="1" customWidth="1"/>
    <col min="12" max="12" width="12" bestFit="1" customWidth="1"/>
  </cols>
  <sheetData>
    <row r="1" spans="1:15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3</v>
      </c>
      <c r="G1" t="s">
        <v>0</v>
      </c>
      <c r="H1" t="s">
        <v>84</v>
      </c>
      <c r="I1" t="s">
        <v>85</v>
      </c>
      <c r="J1" t="s">
        <v>1</v>
      </c>
      <c r="K1" t="s">
        <v>2</v>
      </c>
      <c r="L1" t="s">
        <v>86</v>
      </c>
      <c r="N1" t="s">
        <v>87</v>
      </c>
      <c r="O1" t="s">
        <v>88</v>
      </c>
    </row>
    <row r="2" spans="1:15" x14ac:dyDescent="0.3">
      <c r="A2" t="s">
        <v>83</v>
      </c>
      <c r="B2" t="s">
        <v>47</v>
      </c>
      <c r="C2" t="s">
        <v>81</v>
      </c>
      <c r="D2" s="1">
        <v>45294</v>
      </c>
      <c r="E2">
        <v>644.54</v>
      </c>
      <c r="F2" t="s">
        <v>6</v>
      </c>
      <c r="G2">
        <v>1009</v>
      </c>
      <c r="H2" s="1">
        <v>45421</v>
      </c>
      <c r="I2" s="1"/>
      <c r="J2" t="s">
        <v>17</v>
      </c>
      <c r="K2" t="s">
        <v>18</v>
      </c>
      <c r="L2" t="s">
        <v>10</v>
      </c>
      <c r="N2">
        <f>IF(ISBLANK(Merge3[[#This Row],[Rückgabe am]]),0,Merge3[[#This Row],[Netto-Kaufpreis]])</f>
        <v>0</v>
      </c>
      <c r="O2">
        <f>SUM(N2:N58)</f>
        <v>38121.56</v>
      </c>
    </row>
    <row r="3" spans="1:15" x14ac:dyDescent="0.3">
      <c r="A3" t="s">
        <v>38</v>
      </c>
      <c r="B3" t="s">
        <v>39</v>
      </c>
      <c r="C3" t="s">
        <v>40</v>
      </c>
      <c r="D3" s="1">
        <v>44503</v>
      </c>
      <c r="E3">
        <v>823.23</v>
      </c>
      <c r="F3" t="s">
        <v>6</v>
      </c>
      <c r="G3">
        <v>1009</v>
      </c>
      <c r="H3" s="1">
        <v>45389</v>
      </c>
      <c r="I3" s="1"/>
      <c r="J3" t="s">
        <v>17</v>
      </c>
      <c r="K3" t="s">
        <v>18</v>
      </c>
      <c r="L3" t="s">
        <v>10</v>
      </c>
      <c r="N3">
        <f>IF(ISBLANK(Merge3[[#This Row],[Rückgabe am]]),0,Merge3[[#This Row],[Netto-Kaufpreis]])</f>
        <v>0</v>
      </c>
    </row>
    <row r="4" spans="1:15" x14ac:dyDescent="0.3">
      <c r="A4" t="s">
        <v>83</v>
      </c>
      <c r="B4" t="s">
        <v>47</v>
      </c>
      <c r="C4" t="s">
        <v>81</v>
      </c>
      <c r="D4" s="1">
        <v>45294</v>
      </c>
      <c r="E4">
        <v>644.54</v>
      </c>
      <c r="F4" t="s">
        <v>6</v>
      </c>
      <c r="G4">
        <v>1001</v>
      </c>
      <c r="H4" s="1">
        <v>45297</v>
      </c>
      <c r="I4" s="1"/>
      <c r="J4" t="s">
        <v>4</v>
      </c>
      <c r="K4" t="s">
        <v>5</v>
      </c>
      <c r="L4" t="s">
        <v>6</v>
      </c>
      <c r="N4">
        <f>IF(ISBLANK(Merge3[[#This Row],[Rückgabe am]]),0,Merge3[[#This Row],[Netto-Kaufpreis]])</f>
        <v>0</v>
      </c>
    </row>
    <row r="5" spans="1:15" x14ac:dyDescent="0.3">
      <c r="A5" t="s">
        <v>83</v>
      </c>
      <c r="B5" t="s">
        <v>47</v>
      </c>
      <c r="C5" t="s">
        <v>81</v>
      </c>
      <c r="D5" s="1">
        <v>45294</v>
      </c>
      <c r="E5">
        <v>644.54</v>
      </c>
      <c r="F5" t="s">
        <v>6</v>
      </c>
      <c r="G5">
        <v>1003</v>
      </c>
      <c r="H5" s="1">
        <v>45417</v>
      </c>
      <c r="I5" s="1"/>
      <c r="J5" t="s">
        <v>8</v>
      </c>
      <c r="K5" t="s">
        <v>9</v>
      </c>
      <c r="L5" t="s">
        <v>10</v>
      </c>
      <c r="N5">
        <f>IF(ISBLANK(Merge3[[#This Row],[Rückgabe am]]),0,Merge3[[#This Row],[Netto-Kaufpreis]])</f>
        <v>0</v>
      </c>
    </row>
    <row r="6" spans="1:15" x14ac:dyDescent="0.3">
      <c r="A6" t="s">
        <v>35</v>
      </c>
      <c r="B6" t="s">
        <v>36</v>
      </c>
      <c r="C6" t="s">
        <v>37</v>
      </c>
      <c r="D6" s="1">
        <v>45782</v>
      </c>
      <c r="E6">
        <v>1007.88</v>
      </c>
      <c r="F6" t="s">
        <v>22</v>
      </c>
      <c r="G6">
        <v>1003</v>
      </c>
      <c r="H6" s="1">
        <v>45827</v>
      </c>
      <c r="I6" s="1">
        <v>45908</v>
      </c>
      <c r="J6" t="s">
        <v>8</v>
      </c>
      <c r="K6" t="s">
        <v>9</v>
      </c>
      <c r="L6" t="s">
        <v>10</v>
      </c>
      <c r="N6">
        <f>IF(ISBLANK(Merge3[[#This Row],[Rückgabe am]]),0,Merge3[[#This Row],[Netto-Kaufpreis]])</f>
        <v>1007.88</v>
      </c>
    </row>
    <row r="7" spans="1:15" x14ac:dyDescent="0.3">
      <c r="A7" t="s">
        <v>58</v>
      </c>
      <c r="B7" t="s">
        <v>39</v>
      </c>
      <c r="C7" t="s">
        <v>40</v>
      </c>
      <c r="D7" s="1">
        <v>45015</v>
      </c>
      <c r="E7">
        <v>1501.06</v>
      </c>
      <c r="F7" t="s">
        <v>6</v>
      </c>
      <c r="G7">
        <v>1003</v>
      </c>
      <c r="H7" s="1">
        <v>45330</v>
      </c>
      <c r="I7" s="1">
        <v>45817</v>
      </c>
      <c r="J7" t="s">
        <v>8</v>
      </c>
      <c r="K7" t="s">
        <v>9</v>
      </c>
      <c r="L7" t="s">
        <v>10</v>
      </c>
      <c r="N7">
        <f>IF(ISBLANK(Merge3[[#This Row],[Rückgabe am]]),0,Merge3[[#This Row],[Netto-Kaufpreis]])</f>
        <v>1501.06</v>
      </c>
    </row>
    <row r="8" spans="1:15" x14ac:dyDescent="0.3">
      <c r="A8" t="s">
        <v>58</v>
      </c>
      <c r="B8" t="s">
        <v>39</v>
      </c>
      <c r="C8" t="s">
        <v>40</v>
      </c>
      <c r="D8" s="1">
        <v>45015</v>
      </c>
      <c r="E8">
        <v>1501.06</v>
      </c>
      <c r="F8" t="s">
        <v>6</v>
      </c>
      <c r="G8">
        <v>1002</v>
      </c>
      <c r="H8" s="1">
        <v>45799</v>
      </c>
      <c r="I8" s="1">
        <v>45808</v>
      </c>
      <c r="J8" t="s">
        <v>7</v>
      </c>
      <c r="K8" t="s">
        <v>5</v>
      </c>
      <c r="L8" t="s">
        <v>6</v>
      </c>
      <c r="N8">
        <f>IF(ISBLANK(Merge3[[#This Row],[Rückgabe am]]),0,Merge3[[#This Row],[Netto-Kaufpreis]])</f>
        <v>1501.06</v>
      </c>
    </row>
    <row r="9" spans="1:15" x14ac:dyDescent="0.3">
      <c r="A9" t="s">
        <v>64</v>
      </c>
      <c r="B9" t="s">
        <v>65</v>
      </c>
      <c r="C9" t="s">
        <v>66</v>
      </c>
      <c r="D9" s="1">
        <v>44979</v>
      </c>
      <c r="E9">
        <v>1134.1600000000001</v>
      </c>
      <c r="F9" t="s">
        <v>22</v>
      </c>
      <c r="G9">
        <v>1008</v>
      </c>
      <c r="H9" s="1">
        <v>45930</v>
      </c>
      <c r="I9" s="1">
        <v>45935</v>
      </c>
      <c r="J9" t="s">
        <v>16</v>
      </c>
      <c r="K9" t="s">
        <v>5</v>
      </c>
      <c r="L9" t="s">
        <v>10</v>
      </c>
      <c r="N9">
        <f>IF(ISBLANK(Merge3[[#This Row],[Rückgabe am]]),0,Merge3[[#This Row],[Netto-Kaufpreis]])</f>
        <v>1134.1600000000001</v>
      </c>
    </row>
    <row r="10" spans="1:15" x14ac:dyDescent="0.3">
      <c r="A10" t="s">
        <v>69</v>
      </c>
      <c r="B10" t="s">
        <v>65</v>
      </c>
      <c r="C10" t="s">
        <v>70</v>
      </c>
      <c r="D10" s="1">
        <v>44621</v>
      </c>
      <c r="E10">
        <v>750.91</v>
      </c>
      <c r="F10" t="s">
        <v>6</v>
      </c>
      <c r="G10">
        <v>1008</v>
      </c>
      <c r="H10" s="1">
        <v>45375</v>
      </c>
      <c r="I10" s="1"/>
      <c r="J10" t="s">
        <v>16</v>
      </c>
      <c r="K10" t="s">
        <v>5</v>
      </c>
      <c r="L10" t="s">
        <v>10</v>
      </c>
      <c r="N10">
        <f>IF(ISBLANK(Merge3[[#This Row],[Rückgabe am]]),0,Merge3[[#This Row],[Netto-Kaufpreis]])</f>
        <v>0</v>
      </c>
    </row>
    <row r="11" spans="1:15" x14ac:dyDescent="0.3">
      <c r="A11" t="s">
        <v>69</v>
      </c>
      <c r="B11" t="s">
        <v>65</v>
      </c>
      <c r="C11" t="s">
        <v>70</v>
      </c>
      <c r="D11" s="1">
        <v>44621</v>
      </c>
      <c r="E11">
        <v>750.91</v>
      </c>
      <c r="F11" t="s">
        <v>6</v>
      </c>
      <c r="G11">
        <v>1005</v>
      </c>
      <c r="H11" s="1">
        <v>45743</v>
      </c>
      <c r="I11" s="1">
        <v>45868</v>
      </c>
      <c r="J11" t="s">
        <v>13</v>
      </c>
      <c r="K11" t="s">
        <v>12</v>
      </c>
      <c r="L11" t="s">
        <v>6</v>
      </c>
      <c r="N11">
        <f>IF(ISBLANK(Merge3[[#This Row],[Rückgabe am]]),0,Merge3[[#This Row],[Netto-Kaufpreis]])</f>
        <v>750.91</v>
      </c>
    </row>
    <row r="12" spans="1:15" x14ac:dyDescent="0.3">
      <c r="A12" t="s">
        <v>38</v>
      </c>
      <c r="B12" t="s">
        <v>39</v>
      </c>
      <c r="C12" t="s">
        <v>40</v>
      </c>
      <c r="D12" s="1">
        <v>44503</v>
      </c>
      <c r="E12">
        <v>823.23</v>
      </c>
      <c r="F12" t="s">
        <v>6</v>
      </c>
      <c r="G12">
        <v>1006</v>
      </c>
      <c r="H12" s="1">
        <v>45892</v>
      </c>
      <c r="I12" s="1">
        <v>45922</v>
      </c>
      <c r="J12" t="s">
        <v>14</v>
      </c>
      <c r="K12" t="s">
        <v>12</v>
      </c>
      <c r="L12" t="s">
        <v>10</v>
      </c>
      <c r="N12">
        <f>IF(ISBLANK(Merge3[[#This Row],[Rückgabe am]]),0,Merge3[[#This Row],[Netto-Kaufpreis]])</f>
        <v>823.23</v>
      </c>
    </row>
    <row r="13" spans="1:15" x14ac:dyDescent="0.3">
      <c r="A13" t="s">
        <v>58</v>
      </c>
      <c r="B13" t="s">
        <v>39</v>
      </c>
      <c r="C13" t="s">
        <v>40</v>
      </c>
      <c r="D13" s="1">
        <v>45015</v>
      </c>
      <c r="E13">
        <v>1501.06</v>
      </c>
      <c r="F13" t="s">
        <v>6</v>
      </c>
      <c r="G13">
        <v>1010</v>
      </c>
      <c r="H13" s="1">
        <v>45866</v>
      </c>
      <c r="I13" s="1"/>
      <c r="J13" t="s">
        <v>19</v>
      </c>
      <c r="K13" t="s">
        <v>5</v>
      </c>
      <c r="L13" t="s">
        <v>10</v>
      </c>
      <c r="N13">
        <f>IF(ISBLANK(Merge3[[#This Row],[Rückgabe am]]),0,Merge3[[#This Row],[Netto-Kaufpreis]])</f>
        <v>0</v>
      </c>
    </row>
    <row r="14" spans="1:15" x14ac:dyDescent="0.3">
      <c r="A14" t="s">
        <v>38</v>
      </c>
      <c r="B14" t="s">
        <v>39</v>
      </c>
      <c r="C14" t="s">
        <v>40</v>
      </c>
      <c r="D14" s="1">
        <v>44503</v>
      </c>
      <c r="E14">
        <v>823.23</v>
      </c>
      <c r="F14" t="s">
        <v>6</v>
      </c>
      <c r="G14">
        <v>1012</v>
      </c>
      <c r="H14" s="1">
        <v>45599</v>
      </c>
      <c r="I14" s="1"/>
      <c r="J14" t="s">
        <v>21</v>
      </c>
      <c r="K14" t="s">
        <v>5</v>
      </c>
      <c r="L14" t="s">
        <v>22</v>
      </c>
      <c r="N14">
        <f>IF(ISBLANK(Merge3[[#This Row],[Rückgabe am]]),0,Merge3[[#This Row],[Netto-Kaufpreis]])</f>
        <v>0</v>
      </c>
    </row>
    <row r="15" spans="1:15" x14ac:dyDescent="0.3">
      <c r="A15" t="s">
        <v>41</v>
      </c>
      <c r="B15" t="s">
        <v>42</v>
      </c>
      <c r="C15" t="s">
        <v>43</v>
      </c>
      <c r="D15" s="1">
        <v>45292</v>
      </c>
      <c r="E15">
        <v>1257.96</v>
      </c>
      <c r="F15" t="s">
        <v>22</v>
      </c>
      <c r="G15">
        <v>1012</v>
      </c>
      <c r="H15" s="1">
        <v>45808</v>
      </c>
      <c r="I15" s="1">
        <v>45818</v>
      </c>
      <c r="J15" t="s">
        <v>21</v>
      </c>
      <c r="K15" t="s">
        <v>5</v>
      </c>
      <c r="L15" t="s">
        <v>22</v>
      </c>
      <c r="N15">
        <f>IF(ISBLANK(Merge3[[#This Row],[Rückgabe am]]),0,Merge3[[#This Row],[Netto-Kaufpreis]])</f>
        <v>1257.96</v>
      </c>
    </row>
    <row r="16" spans="1:15" x14ac:dyDescent="0.3">
      <c r="A16" t="s">
        <v>44</v>
      </c>
      <c r="B16" t="s">
        <v>36</v>
      </c>
      <c r="C16" t="s">
        <v>45</v>
      </c>
      <c r="D16" s="1">
        <v>44360</v>
      </c>
      <c r="E16">
        <v>869.09</v>
      </c>
      <c r="F16" t="s">
        <v>10</v>
      </c>
      <c r="G16">
        <v>1001</v>
      </c>
      <c r="H16" s="1">
        <v>45544</v>
      </c>
      <c r="I16" s="1">
        <v>45854</v>
      </c>
      <c r="J16" t="s">
        <v>4</v>
      </c>
      <c r="K16" t="s">
        <v>5</v>
      </c>
      <c r="L16" t="s">
        <v>6</v>
      </c>
      <c r="N16">
        <f>IF(ISBLANK(Merge3[[#This Row],[Rückgabe am]]),0,Merge3[[#This Row],[Netto-Kaufpreis]])</f>
        <v>869.09</v>
      </c>
    </row>
    <row r="17" spans="1:14" x14ac:dyDescent="0.3">
      <c r="A17" t="s">
        <v>44</v>
      </c>
      <c r="B17" t="s">
        <v>36</v>
      </c>
      <c r="C17" t="s">
        <v>45</v>
      </c>
      <c r="D17" s="1">
        <v>44360</v>
      </c>
      <c r="E17">
        <v>869.09</v>
      </c>
      <c r="F17" t="s">
        <v>10</v>
      </c>
      <c r="G17">
        <v>1001</v>
      </c>
      <c r="H17" s="1">
        <v>45880</v>
      </c>
      <c r="I17" s="1"/>
      <c r="J17" t="s">
        <v>4</v>
      </c>
      <c r="K17" t="s">
        <v>5</v>
      </c>
      <c r="L17" t="s">
        <v>6</v>
      </c>
      <c r="N17">
        <f>IF(ISBLANK(Merge3[[#This Row],[Rückgabe am]]),0,Merge3[[#This Row],[Netto-Kaufpreis]])</f>
        <v>0</v>
      </c>
    </row>
    <row r="18" spans="1:14" x14ac:dyDescent="0.3">
      <c r="A18" t="s">
        <v>49</v>
      </c>
      <c r="B18" t="s">
        <v>36</v>
      </c>
      <c r="C18" t="s">
        <v>37</v>
      </c>
      <c r="D18" s="1">
        <v>45026</v>
      </c>
      <c r="E18">
        <v>1458.02</v>
      </c>
      <c r="F18" t="s">
        <v>22</v>
      </c>
      <c r="G18">
        <v>1011</v>
      </c>
      <c r="H18" s="1">
        <v>45850</v>
      </c>
      <c r="I18" s="1">
        <v>45853</v>
      </c>
      <c r="J18" t="s">
        <v>20</v>
      </c>
      <c r="K18" t="s">
        <v>5</v>
      </c>
      <c r="L18" t="s">
        <v>10</v>
      </c>
      <c r="N18">
        <f>IF(ISBLANK(Merge3[[#This Row],[Rückgabe am]]),0,Merge3[[#This Row],[Netto-Kaufpreis]])</f>
        <v>1458.02</v>
      </c>
    </row>
    <row r="19" spans="1:14" x14ac:dyDescent="0.3">
      <c r="A19" t="s">
        <v>51</v>
      </c>
      <c r="B19" t="s">
        <v>39</v>
      </c>
      <c r="C19" t="s">
        <v>52</v>
      </c>
      <c r="D19" s="1">
        <v>45909</v>
      </c>
      <c r="E19">
        <v>1417.1</v>
      </c>
      <c r="F19" t="s">
        <v>22</v>
      </c>
      <c r="G19">
        <v>1005</v>
      </c>
      <c r="H19" s="1">
        <v>45837</v>
      </c>
      <c r="I19" s="1">
        <v>45898</v>
      </c>
      <c r="J19" t="s">
        <v>13</v>
      </c>
      <c r="K19" t="s">
        <v>12</v>
      </c>
      <c r="L19" t="s">
        <v>6</v>
      </c>
      <c r="N19">
        <f>IF(ISBLANK(Merge3[[#This Row],[Rückgabe am]]),0,Merge3[[#This Row],[Netto-Kaufpreis]])</f>
        <v>1417.1</v>
      </c>
    </row>
    <row r="20" spans="1:14" x14ac:dyDescent="0.3">
      <c r="A20" t="s">
        <v>74</v>
      </c>
      <c r="B20" t="s">
        <v>47</v>
      </c>
      <c r="C20" t="s">
        <v>48</v>
      </c>
      <c r="D20" s="1">
        <v>44945</v>
      </c>
      <c r="E20">
        <v>1246.58</v>
      </c>
      <c r="F20" t="s">
        <v>10</v>
      </c>
      <c r="G20">
        <v>1004</v>
      </c>
      <c r="H20" s="1">
        <v>45523</v>
      </c>
      <c r="I20" s="1"/>
      <c r="J20" t="s">
        <v>11</v>
      </c>
      <c r="K20" t="s">
        <v>12</v>
      </c>
      <c r="L20" t="s">
        <v>10</v>
      </c>
      <c r="N20">
        <f>IF(ISBLANK(Merge3[[#This Row],[Rückgabe am]]),0,Merge3[[#This Row],[Netto-Kaufpreis]])</f>
        <v>0</v>
      </c>
    </row>
    <row r="21" spans="1:14" x14ac:dyDescent="0.3">
      <c r="A21" t="s">
        <v>74</v>
      </c>
      <c r="B21" t="s">
        <v>47</v>
      </c>
      <c r="C21" t="s">
        <v>48</v>
      </c>
      <c r="D21" s="1">
        <v>44945</v>
      </c>
      <c r="E21">
        <v>1246.58</v>
      </c>
      <c r="F21" t="s">
        <v>10</v>
      </c>
      <c r="G21">
        <v>1006</v>
      </c>
      <c r="H21" s="1">
        <v>45630</v>
      </c>
      <c r="I21" s="1">
        <v>45732</v>
      </c>
      <c r="J21" t="s">
        <v>14</v>
      </c>
      <c r="K21" t="s">
        <v>12</v>
      </c>
      <c r="L21" t="s">
        <v>10</v>
      </c>
      <c r="N21">
        <f>IF(ISBLANK(Merge3[[#This Row],[Rückgabe am]]),0,Merge3[[#This Row],[Netto-Kaufpreis]])</f>
        <v>1246.58</v>
      </c>
    </row>
    <row r="22" spans="1:14" x14ac:dyDescent="0.3">
      <c r="A22" t="s">
        <v>74</v>
      </c>
      <c r="B22" t="s">
        <v>47</v>
      </c>
      <c r="C22" t="s">
        <v>48</v>
      </c>
      <c r="D22" s="1">
        <v>44945</v>
      </c>
      <c r="E22">
        <v>1246.58</v>
      </c>
      <c r="F22" t="s">
        <v>10</v>
      </c>
      <c r="G22">
        <v>1003</v>
      </c>
      <c r="H22" s="1">
        <v>45595</v>
      </c>
      <c r="I22" s="1">
        <v>45630</v>
      </c>
      <c r="J22" t="s">
        <v>8</v>
      </c>
      <c r="K22" t="s">
        <v>9</v>
      </c>
      <c r="L22" t="s">
        <v>10</v>
      </c>
      <c r="N22">
        <f>IF(ISBLANK(Merge3[[#This Row],[Rückgabe am]]),0,Merge3[[#This Row],[Netto-Kaufpreis]])</f>
        <v>1246.58</v>
      </c>
    </row>
    <row r="23" spans="1:14" x14ac:dyDescent="0.3">
      <c r="A23" t="s">
        <v>54</v>
      </c>
      <c r="B23" t="s">
        <v>39</v>
      </c>
      <c r="C23" t="s">
        <v>40</v>
      </c>
      <c r="D23" s="1">
        <v>44332</v>
      </c>
      <c r="E23">
        <v>1898.65</v>
      </c>
      <c r="F23" t="s">
        <v>10</v>
      </c>
      <c r="G23">
        <v>1012</v>
      </c>
      <c r="H23" s="1">
        <v>45419</v>
      </c>
      <c r="I23" s="1">
        <v>45470</v>
      </c>
      <c r="J23" t="s">
        <v>21</v>
      </c>
      <c r="K23" t="s">
        <v>5</v>
      </c>
      <c r="L23" t="s">
        <v>22</v>
      </c>
      <c r="N23">
        <f>IF(ISBLANK(Merge3[[#This Row],[Rückgabe am]]),0,Merge3[[#This Row],[Netto-Kaufpreis]])</f>
        <v>1898.65</v>
      </c>
    </row>
    <row r="24" spans="1:14" x14ac:dyDescent="0.3">
      <c r="A24" t="s">
        <v>54</v>
      </c>
      <c r="B24" t="s">
        <v>39</v>
      </c>
      <c r="C24" t="s">
        <v>40</v>
      </c>
      <c r="D24" s="1">
        <v>44332</v>
      </c>
      <c r="E24">
        <v>1898.65</v>
      </c>
      <c r="F24" t="s">
        <v>10</v>
      </c>
      <c r="G24">
        <v>1009</v>
      </c>
      <c r="H24" s="1">
        <v>45319</v>
      </c>
      <c r="I24" s="1">
        <v>45714</v>
      </c>
      <c r="J24" t="s">
        <v>17</v>
      </c>
      <c r="K24" t="s">
        <v>18</v>
      </c>
      <c r="L24" t="s">
        <v>10</v>
      </c>
      <c r="N24">
        <f>IF(ISBLANK(Merge3[[#This Row],[Rückgabe am]]),0,Merge3[[#This Row],[Netto-Kaufpreis]])</f>
        <v>1898.65</v>
      </c>
    </row>
    <row r="25" spans="1:14" x14ac:dyDescent="0.3">
      <c r="A25" t="s">
        <v>75</v>
      </c>
      <c r="B25" t="s">
        <v>36</v>
      </c>
      <c r="C25" t="s">
        <v>45</v>
      </c>
      <c r="D25" s="1">
        <v>44337</v>
      </c>
      <c r="E25">
        <v>1553.15</v>
      </c>
      <c r="F25" t="s">
        <v>10</v>
      </c>
      <c r="G25">
        <v>1002</v>
      </c>
      <c r="H25" s="1">
        <v>45921</v>
      </c>
      <c r="I25" s="1">
        <v>45934</v>
      </c>
      <c r="J25" t="s">
        <v>7</v>
      </c>
      <c r="K25" t="s">
        <v>5</v>
      </c>
      <c r="L25" t="s">
        <v>6</v>
      </c>
      <c r="N25">
        <f>IF(ISBLANK(Merge3[[#This Row],[Rückgabe am]]),0,Merge3[[#This Row],[Netto-Kaufpreis]])</f>
        <v>1553.15</v>
      </c>
    </row>
    <row r="26" spans="1:14" x14ac:dyDescent="0.3">
      <c r="A26" t="s">
        <v>56</v>
      </c>
      <c r="B26" t="s">
        <v>42</v>
      </c>
      <c r="C26" t="s">
        <v>57</v>
      </c>
      <c r="D26" s="1">
        <v>44824</v>
      </c>
      <c r="E26">
        <v>661.44</v>
      </c>
      <c r="F26" t="s">
        <v>22</v>
      </c>
      <c r="G26">
        <v>1010</v>
      </c>
      <c r="H26" s="1">
        <v>45377</v>
      </c>
      <c r="I26" s="1">
        <v>45886</v>
      </c>
      <c r="J26" t="s">
        <v>19</v>
      </c>
      <c r="K26" t="s">
        <v>5</v>
      </c>
      <c r="L26" t="s">
        <v>10</v>
      </c>
      <c r="N26">
        <f>IF(ISBLANK(Merge3[[#This Row],[Rückgabe am]]),0,Merge3[[#This Row],[Netto-Kaufpreis]])</f>
        <v>661.44</v>
      </c>
    </row>
    <row r="27" spans="1:14" x14ac:dyDescent="0.3">
      <c r="A27" t="s">
        <v>56</v>
      </c>
      <c r="B27" t="s">
        <v>42</v>
      </c>
      <c r="C27" t="s">
        <v>57</v>
      </c>
      <c r="D27" s="1">
        <v>44824</v>
      </c>
      <c r="E27">
        <v>661.44</v>
      </c>
      <c r="F27" t="s">
        <v>22</v>
      </c>
      <c r="G27">
        <v>1002</v>
      </c>
      <c r="H27" s="1">
        <v>45519</v>
      </c>
      <c r="I27" s="1"/>
      <c r="J27" t="s">
        <v>7</v>
      </c>
      <c r="K27" t="s">
        <v>5</v>
      </c>
      <c r="L27" t="s">
        <v>6</v>
      </c>
      <c r="N27">
        <f>IF(ISBLANK(Merge3[[#This Row],[Rückgabe am]]),0,Merge3[[#This Row],[Netto-Kaufpreis]])</f>
        <v>0</v>
      </c>
    </row>
    <row r="28" spans="1:14" x14ac:dyDescent="0.3">
      <c r="A28" t="s">
        <v>67</v>
      </c>
      <c r="B28" t="s">
        <v>29</v>
      </c>
      <c r="C28" t="s">
        <v>34</v>
      </c>
      <c r="D28" s="1">
        <v>45524</v>
      </c>
      <c r="E28">
        <v>1591.98</v>
      </c>
      <c r="F28" t="s">
        <v>10</v>
      </c>
      <c r="G28">
        <v>1002</v>
      </c>
      <c r="H28" s="1">
        <v>45899</v>
      </c>
      <c r="I28" s="1">
        <v>45930</v>
      </c>
      <c r="J28" t="s">
        <v>7</v>
      </c>
      <c r="K28" t="s">
        <v>5</v>
      </c>
      <c r="L28" t="s">
        <v>6</v>
      </c>
      <c r="N28">
        <f>IF(ISBLANK(Merge3[[#This Row],[Rückgabe am]]),0,Merge3[[#This Row],[Netto-Kaufpreis]])</f>
        <v>1591.98</v>
      </c>
    </row>
    <row r="29" spans="1:14" x14ac:dyDescent="0.3">
      <c r="A29" t="s">
        <v>67</v>
      </c>
      <c r="B29" t="s">
        <v>29</v>
      </c>
      <c r="C29" t="s">
        <v>34</v>
      </c>
      <c r="D29" s="1">
        <v>45524</v>
      </c>
      <c r="E29">
        <v>1591.98</v>
      </c>
      <c r="F29" t="s">
        <v>10</v>
      </c>
      <c r="G29">
        <v>1002</v>
      </c>
      <c r="H29" s="1">
        <v>45493</v>
      </c>
      <c r="I29" s="1">
        <v>45663</v>
      </c>
      <c r="J29" t="s">
        <v>7</v>
      </c>
      <c r="K29" t="s">
        <v>5</v>
      </c>
      <c r="L29" t="s">
        <v>6</v>
      </c>
      <c r="N29">
        <f>IF(ISBLANK(Merge3[[#This Row],[Rückgabe am]]),0,Merge3[[#This Row],[Netto-Kaufpreis]])</f>
        <v>1591.98</v>
      </c>
    </row>
    <row r="30" spans="1:14" x14ac:dyDescent="0.3">
      <c r="A30" t="s">
        <v>60</v>
      </c>
      <c r="B30" t="s">
        <v>29</v>
      </c>
      <c r="C30" t="s">
        <v>34</v>
      </c>
      <c r="D30" s="1">
        <v>44839</v>
      </c>
      <c r="E30">
        <v>1688.07</v>
      </c>
      <c r="F30" t="s">
        <v>22</v>
      </c>
      <c r="G30">
        <v>1011</v>
      </c>
      <c r="H30" s="1">
        <v>45568</v>
      </c>
      <c r="I30" s="1">
        <v>45623</v>
      </c>
      <c r="J30" t="s">
        <v>20</v>
      </c>
      <c r="K30" t="s">
        <v>5</v>
      </c>
      <c r="L30" t="s">
        <v>10</v>
      </c>
      <c r="N30">
        <f>IF(ISBLANK(Merge3[[#This Row],[Rückgabe am]]),0,Merge3[[#This Row],[Netto-Kaufpreis]])</f>
        <v>1688.07</v>
      </c>
    </row>
    <row r="31" spans="1:14" x14ac:dyDescent="0.3">
      <c r="A31" t="s">
        <v>77</v>
      </c>
      <c r="B31" t="s">
        <v>36</v>
      </c>
      <c r="C31" t="s">
        <v>78</v>
      </c>
      <c r="D31" s="1">
        <v>45775</v>
      </c>
      <c r="E31">
        <v>1095.6199999999999</v>
      </c>
      <c r="F31" t="s">
        <v>22</v>
      </c>
      <c r="G31">
        <v>1004</v>
      </c>
      <c r="H31" s="1">
        <v>45320</v>
      </c>
      <c r="I31" s="1"/>
      <c r="J31" t="s">
        <v>11</v>
      </c>
      <c r="K31" t="s">
        <v>12</v>
      </c>
      <c r="L31" t="s">
        <v>10</v>
      </c>
      <c r="N31">
        <f>IF(ISBLANK(Merge3[[#This Row],[Rückgabe am]]),0,Merge3[[#This Row],[Netto-Kaufpreis]])</f>
        <v>0</v>
      </c>
    </row>
    <row r="32" spans="1:14" x14ac:dyDescent="0.3">
      <c r="A32" t="s">
        <v>77</v>
      </c>
      <c r="B32" t="s">
        <v>36</v>
      </c>
      <c r="C32" t="s">
        <v>78</v>
      </c>
      <c r="D32" s="1">
        <v>45775</v>
      </c>
      <c r="E32">
        <v>1095.6199999999999</v>
      </c>
      <c r="F32" t="s">
        <v>22</v>
      </c>
      <c r="G32">
        <v>1004</v>
      </c>
      <c r="H32" s="1">
        <v>45336</v>
      </c>
      <c r="I32" s="1"/>
      <c r="J32" t="s">
        <v>11</v>
      </c>
      <c r="K32" t="s">
        <v>12</v>
      </c>
      <c r="L32" t="s">
        <v>10</v>
      </c>
      <c r="N32">
        <f>IF(ISBLANK(Merge3[[#This Row],[Rückgabe am]]),0,Merge3[[#This Row],[Netto-Kaufpreis]])</f>
        <v>0</v>
      </c>
    </row>
    <row r="33" spans="1:14" x14ac:dyDescent="0.3">
      <c r="A33" t="s">
        <v>73</v>
      </c>
      <c r="B33" t="s">
        <v>65</v>
      </c>
      <c r="C33" t="s">
        <v>66</v>
      </c>
      <c r="D33" s="1">
        <v>44766</v>
      </c>
      <c r="E33">
        <v>501.64</v>
      </c>
      <c r="F33" t="s">
        <v>22</v>
      </c>
      <c r="G33">
        <v>1004</v>
      </c>
      <c r="H33" s="1">
        <v>45403</v>
      </c>
      <c r="I33" s="1">
        <v>45839</v>
      </c>
      <c r="J33" t="s">
        <v>11</v>
      </c>
      <c r="K33" t="s">
        <v>12</v>
      </c>
      <c r="L33" t="s">
        <v>10</v>
      </c>
      <c r="N33">
        <f>IF(ISBLANK(Merge3[[#This Row],[Rückgabe am]]),0,Merge3[[#This Row],[Netto-Kaufpreis]])</f>
        <v>501.64</v>
      </c>
    </row>
    <row r="34" spans="1:14" x14ac:dyDescent="0.3">
      <c r="A34" t="s">
        <v>76</v>
      </c>
      <c r="B34" t="s">
        <v>47</v>
      </c>
      <c r="C34" t="s">
        <v>48</v>
      </c>
      <c r="D34" s="1">
        <v>44647</v>
      </c>
      <c r="E34">
        <v>1629.76</v>
      </c>
      <c r="F34" t="s">
        <v>22</v>
      </c>
      <c r="G34">
        <v>1012</v>
      </c>
      <c r="H34" s="1">
        <v>45792</v>
      </c>
      <c r="I34" s="1">
        <v>45905</v>
      </c>
      <c r="J34" t="s">
        <v>21</v>
      </c>
      <c r="K34" t="s">
        <v>5</v>
      </c>
      <c r="L34" t="s">
        <v>22</v>
      </c>
      <c r="N34">
        <f>IF(ISBLANK(Merge3[[#This Row],[Rückgabe am]]),0,Merge3[[#This Row],[Netto-Kaufpreis]])</f>
        <v>1629.76</v>
      </c>
    </row>
    <row r="35" spans="1:14" x14ac:dyDescent="0.3">
      <c r="A35" t="s">
        <v>76</v>
      </c>
      <c r="B35" t="s">
        <v>47</v>
      </c>
      <c r="C35" t="s">
        <v>48</v>
      </c>
      <c r="D35" s="1">
        <v>44647</v>
      </c>
      <c r="E35">
        <v>1629.76</v>
      </c>
      <c r="F35" t="s">
        <v>22</v>
      </c>
      <c r="G35">
        <v>1005</v>
      </c>
      <c r="H35" s="1">
        <v>45261</v>
      </c>
      <c r="I35" s="1">
        <v>45559</v>
      </c>
      <c r="J35" t="s">
        <v>13</v>
      </c>
      <c r="K35" t="s">
        <v>12</v>
      </c>
      <c r="L35" t="s">
        <v>6</v>
      </c>
      <c r="N35">
        <f>IF(ISBLANK(Merge3[[#This Row],[Rückgabe am]]),0,Merge3[[#This Row],[Netto-Kaufpreis]])</f>
        <v>1629.76</v>
      </c>
    </row>
    <row r="36" spans="1:14" x14ac:dyDescent="0.3">
      <c r="A36" t="s">
        <v>71</v>
      </c>
      <c r="B36" t="s">
        <v>47</v>
      </c>
      <c r="C36" t="s">
        <v>48</v>
      </c>
      <c r="D36" s="1">
        <v>45266</v>
      </c>
      <c r="E36">
        <v>545.46</v>
      </c>
      <c r="F36" t="s">
        <v>6</v>
      </c>
      <c r="G36">
        <v>1005</v>
      </c>
      <c r="H36" s="1">
        <v>45675</v>
      </c>
      <c r="I36" s="1"/>
      <c r="J36" t="s">
        <v>13</v>
      </c>
      <c r="K36" t="s">
        <v>12</v>
      </c>
      <c r="L36" t="s">
        <v>6</v>
      </c>
      <c r="N36">
        <f>IF(ISBLANK(Merge3[[#This Row],[Rückgabe am]]),0,Merge3[[#This Row],[Netto-Kaufpreis]])</f>
        <v>0</v>
      </c>
    </row>
    <row r="37" spans="1:14" x14ac:dyDescent="0.3">
      <c r="A37" t="s">
        <v>79</v>
      </c>
      <c r="B37" t="s">
        <v>36</v>
      </c>
      <c r="C37" t="s">
        <v>45</v>
      </c>
      <c r="D37" s="1">
        <v>44876</v>
      </c>
      <c r="E37">
        <v>1801.36</v>
      </c>
      <c r="F37" t="s">
        <v>22</v>
      </c>
      <c r="G37">
        <v>1003</v>
      </c>
      <c r="H37" s="1">
        <v>45508</v>
      </c>
      <c r="I37" s="1">
        <v>45871</v>
      </c>
      <c r="J37" t="s">
        <v>8</v>
      </c>
      <c r="K37" t="s">
        <v>9</v>
      </c>
      <c r="L37" t="s">
        <v>10</v>
      </c>
      <c r="N37">
        <f>IF(ISBLANK(Merge3[[#This Row],[Rückgabe am]]),0,Merge3[[#This Row],[Netto-Kaufpreis]])</f>
        <v>1801.36</v>
      </c>
    </row>
    <row r="38" spans="1:14" x14ac:dyDescent="0.3">
      <c r="A38" t="s">
        <v>55</v>
      </c>
      <c r="B38" t="s">
        <v>36</v>
      </c>
      <c r="C38" t="s">
        <v>45</v>
      </c>
      <c r="D38" s="1">
        <v>44258</v>
      </c>
      <c r="E38">
        <v>1415.97</v>
      </c>
      <c r="F38" t="s">
        <v>10</v>
      </c>
      <c r="G38">
        <v>1001</v>
      </c>
      <c r="H38" s="1">
        <v>45622</v>
      </c>
      <c r="I38" s="1">
        <v>45719</v>
      </c>
      <c r="J38" t="s">
        <v>4</v>
      </c>
      <c r="K38" t="s">
        <v>5</v>
      </c>
      <c r="L38" t="s">
        <v>6</v>
      </c>
      <c r="N38">
        <f>IF(ISBLANK(Merge3[[#This Row],[Rückgabe am]]),0,Merge3[[#This Row],[Netto-Kaufpreis]])</f>
        <v>1415.97</v>
      </c>
    </row>
    <row r="39" spans="1:14" x14ac:dyDescent="0.3">
      <c r="A39" t="s">
        <v>83</v>
      </c>
      <c r="B39" t="s">
        <v>47</v>
      </c>
      <c r="C39" t="s">
        <v>81</v>
      </c>
      <c r="D39" s="1">
        <v>45294</v>
      </c>
      <c r="E39">
        <v>644.54</v>
      </c>
      <c r="F39" t="s">
        <v>6</v>
      </c>
      <c r="G39">
        <v>1001</v>
      </c>
      <c r="H39" s="1">
        <v>45641</v>
      </c>
      <c r="I39" s="1"/>
      <c r="J39" t="s">
        <v>4</v>
      </c>
      <c r="K39" t="s">
        <v>5</v>
      </c>
      <c r="L39" t="s">
        <v>6</v>
      </c>
      <c r="N39">
        <f>IF(ISBLANK(Merge3[[#This Row],[Rückgabe am]]),0,Merge3[[#This Row],[Netto-Kaufpreis]])</f>
        <v>0</v>
      </c>
    </row>
    <row r="40" spans="1:14" x14ac:dyDescent="0.3">
      <c r="A40" t="s">
        <v>35</v>
      </c>
      <c r="B40" t="s">
        <v>36</v>
      </c>
      <c r="C40" t="s">
        <v>37</v>
      </c>
      <c r="D40" s="1">
        <v>45782</v>
      </c>
      <c r="E40">
        <v>1007.88</v>
      </c>
      <c r="F40" t="s">
        <v>22</v>
      </c>
      <c r="G40">
        <v>1001</v>
      </c>
      <c r="H40" s="1">
        <v>45880</v>
      </c>
      <c r="I40" s="1">
        <v>45881</v>
      </c>
      <c r="J40" t="s">
        <v>4</v>
      </c>
      <c r="K40" t="s">
        <v>5</v>
      </c>
      <c r="L40" t="s">
        <v>6</v>
      </c>
      <c r="N40">
        <f>IF(ISBLANK(Merge3[[#This Row],[Rückgabe am]]),0,Merge3[[#This Row],[Netto-Kaufpreis]])</f>
        <v>1007.88</v>
      </c>
    </row>
    <row r="41" spans="1:14" x14ac:dyDescent="0.3">
      <c r="A41" t="s">
        <v>80</v>
      </c>
      <c r="B41" t="s">
        <v>47</v>
      </c>
      <c r="C41" t="s">
        <v>81</v>
      </c>
      <c r="D41" s="1">
        <v>44623</v>
      </c>
      <c r="E41">
        <v>1212.29</v>
      </c>
      <c r="F41" t="s">
        <v>6</v>
      </c>
      <c r="G41">
        <v>1009</v>
      </c>
      <c r="H41" s="1">
        <v>45740</v>
      </c>
      <c r="I41" s="1">
        <v>45784</v>
      </c>
      <c r="J41" t="s">
        <v>17</v>
      </c>
      <c r="K41" t="s">
        <v>18</v>
      </c>
      <c r="L41" t="s">
        <v>10</v>
      </c>
      <c r="N41">
        <f>IF(ISBLANK(Merge3[[#This Row],[Rückgabe am]]),0,Merge3[[#This Row],[Netto-Kaufpreis]])</f>
        <v>1212.29</v>
      </c>
    </row>
    <row r="42" spans="1:14" x14ac:dyDescent="0.3">
      <c r="A42" t="s">
        <v>80</v>
      </c>
      <c r="B42" t="s">
        <v>47</v>
      </c>
      <c r="C42" t="s">
        <v>81</v>
      </c>
      <c r="D42" s="1">
        <v>44623</v>
      </c>
      <c r="E42">
        <v>1212.29</v>
      </c>
      <c r="F42" t="s">
        <v>6</v>
      </c>
      <c r="G42">
        <v>1002</v>
      </c>
      <c r="H42" s="1">
        <v>45741</v>
      </c>
      <c r="I42" s="1"/>
      <c r="J42" t="s">
        <v>7</v>
      </c>
      <c r="K42" t="s">
        <v>5</v>
      </c>
      <c r="L42" t="s">
        <v>6</v>
      </c>
      <c r="N42">
        <f>IF(ISBLANK(Merge3[[#This Row],[Rückgabe am]]),0,Merge3[[#This Row],[Netto-Kaufpreis]])</f>
        <v>0</v>
      </c>
    </row>
    <row r="43" spans="1:14" x14ac:dyDescent="0.3">
      <c r="A43" t="s">
        <v>38</v>
      </c>
      <c r="B43" t="s">
        <v>39</v>
      </c>
      <c r="C43" t="s">
        <v>40</v>
      </c>
      <c r="D43" s="1">
        <v>44503</v>
      </c>
      <c r="E43">
        <v>823.23</v>
      </c>
      <c r="F43" t="s">
        <v>6</v>
      </c>
      <c r="G43">
        <v>1010</v>
      </c>
      <c r="H43" s="1">
        <v>45899</v>
      </c>
      <c r="I43" s="1">
        <v>45925</v>
      </c>
      <c r="J43" t="s">
        <v>19</v>
      </c>
      <c r="K43" t="s">
        <v>5</v>
      </c>
      <c r="L43" t="s">
        <v>10</v>
      </c>
      <c r="N43">
        <f>IF(ISBLANK(Merge3[[#This Row],[Rückgabe am]]),0,Merge3[[#This Row],[Netto-Kaufpreis]])</f>
        <v>823.23</v>
      </c>
    </row>
    <row r="44" spans="1:14" x14ac:dyDescent="0.3">
      <c r="A44" t="s">
        <v>58</v>
      </c>
      <c r="B44" t="s">
        <v>39</v>
      </c>
      <c r="C44" t="s">
        <v>40</v>
      </c>
      <c r="D44" s="1">
        <v>45015</v>
      </c>
      <c r="E44">
        <v>1501.06</v>
      </c>
      <c r="F44" t="s">
        <v>6</v>
      </c>
      <c r="G44">
        <v>1007</v>
      </c>
      <c r="H44" s="1">
        <v>45795</v>
      </c>
      <c r="I44" s="1">
        <v>45846</v>
      </c>
      <c r="J44" t="s">
        <v>15</v>
      </c>
      <c r="K44" t="s">
        <v>5</v>
      </c>
      <c r="L44" t="s">
        <v>6</v>
      </c>
      <c r="N44">
        <f>IF(ISBLANK(Merge3[[#This Row],[Rückgabe am]]),0,Merge3[[#This Row],[Netto-Kaufpreis]])</f>
        <v>1501.06</v>
      </c>
    </row>
    <row r="45" spans="1:14" x14ac:dyDescent="0.3">
      <c r="A45" t="s">
        <v>58</v>
      </c>
      <c r="B45" t="s">
        <v>39</v>
      </c>
      <c r="C45" t="s">
        <v>40</v>
      </c>
      <c r="D45" s="1">
        <v>45015</v>
      </c>
      <c r="E45">
        <v>1501.06</v>
      </c>
      <c r="F45" t="s">
        <v>6</v>
      </c>
      <c r="G45">
        <v>1010</v>
      </c>
      <c r="H45" s="1">
        <v>45808</v>
      </c>
      <c r="I45" s="1">
        <v>45932</v>
      </c>
      <c r="J45" t="s">
        <v>19</v>
      </c>
      <c r="K45" t="s">
        <v>5</v>
      </c>
      <c r="L45" t="s">
        <v>10</v>
      </c>
      <c r="N45">
        <f>IF(ISBLANK(Merge3[[#This Row],[Rückgabe am]]),0,Merge3[[#This Row],[Netto-Kaufpreis]])</f>
        <v>1501.06</v>
      </c>
    </row>
    <row r="46" spans="1:14" x14ac:dyDescent="0.3">
      <c r="A46" t="s">
        <v>41</v>
      </c>
      <c r="B46" t="s">
        <v>42</v>
      </c>
      <c r="C46" t="s">
        <v>43</v>
      </c>
      <c r="D46" s="1">
        <v>45292</v>
      </c>
      <c r="E46">
        <v>1257.96</v>
      </c>
      <c r="F46" t="s">
        <v>22</v>
      </c>
      <c r="G46">
        <v>1007</v>
      </c>
      <c r="H46" s="1">
        <v>45476</v>
      </c>
      <c r="I46" s="1"/>
      <c r="J46" t="s">
        <v>15</v>
      </c>
      <c r="K46" t="s">
        <v>5</v>
      </c>
      <c r="L46" t="s">
        <v>6</v>
      </c>
      <c r="N46">
        <f>IF(ISBLANK(Merge3[[#This Row],[Rückgabe am]]),0,Merge3[[#This Row],[Netto-Kaufpreis]])</f>
        <v>0</v>
      </c>
    </row>
    <row r="47" spans="1:14" x14ac:dyDescent="0.3">
      <c r="A47" t="s">
        <v>28</v>
      </c>
      <c r="B47" t="s">
        <v>29</v>
      </c>
      <c r="C47" t="s">
        <v>30</v>
      </c>
      <c r="D47" s="1">
        <v>44937</v>
      </c>
      <c r="E47">
        <v>1342.83</v>
      </c>
      <c r="F47" t="s">
        <v>6</v>
      </c>
      <c r="H47" s="1"/>
      <c r="I47" s="1"/>
      <c r="N47">
        <f>IF(ISBLANK(Merge3[[#This Row],[Rückgabe am]]),0,Merge3[[#This Row],[Netto-Kaufpreis]])</f>
        <v>0</v>
      </c>
    </row>
    <row r="48" spans="1:14" x14ac:dyDescent="0.3">
      <c r="A48" t="s">
        <v>31</v>
      </c>
      <c r="B48" t="s">
        <v>29</v>
      </c>
      <c r="C48" t="s">
        <v>32</v>
      </c>
      <c r="D48" s="1">
        <v>44250</v>
      </c>
      <c r="E48">
        <v>1076.18</v>
      </c>
      <c r="F48" t="s">
        <v>22</v>
      </c>
      <c r="H48" s="1"/>
      <c r="I48" s="1"/>
      <c r="N48">
        <f>IF(ISBLANK(Merge3[[#This Row],[Rückgabe am]]),0,Merge3[[#This Row],[Netto-Kaufpreis]])</f>
        <v>0</v>
      </c>
    </row>
    <row r="49" spans="1:14" x14ac:dyDescent="0.3">
      <c r="A49" t="s">
        <v>33</v>
      </c>
      <c r="B49" t="s">
        <v>29</v>
      </c>
      <c r="C49" t="s">
        <v>34</v>
      </c>
      <c r="D49" s="1">
        <v>45543</v>
      </c>
      <c r="E49">
        <v>1931.54</v>
      </c>
      <c r="F49" t="s">
        <v>22</v>
      </c>
      <c r="H49" s="1"/>
      <c r="I49" s="1"/>
      <c r="N49">
        <f>IF(ISBLANK(Merge3[[#This Row],[Rückgabe am]]),0,Merge3[[#This Row],[Netto-Kaufpreis]])</f>
        <v>0</v>
      </c>
    </row>
    <row r="50" spans="1:14" x14ac:dyDescent="0.3">
      <c r="A50" t="s">
        <v>46</v>
      </c>
      <c r="B50" t="s">
        <v>47</v>
      </c>
      <c r="C50" t="s">
        <v>48</v>
      </c>
      <c r="D50" s="1">
        <v>45831</v>
      </c>
      <c r="E50">
        <v>1323.76</v>
      </c>
      <c r="F50" t="s">
        <v>10</v>
      </c>
      <c r="H50" s="1"/>
      <c r="I50" s="1"/>
      <c r="N50">
        <f>IF(ISBLANK(Merge3[[#This Row],[Rückgabe am]]),0,Merge3[[#This Row],[Netto-Kaufpreis]])</f>
        <v>0</v>
      </c>
    </row>
    <row r="51" spans="1:14" x14ac:dyDescent="0.3">
      <c r="A51" t="s">
        <v>50</v>
      </c>
      <c r="B51" t="s">
        <v>36</v>
      </c>
      <c r="C51" t="s">
        <v>37</v>
      </c>
      <c r="D51" s="1">
        <v>45239</v>
      </c>
      <c r="E51">
        <v>1786.37</v>
      </c>
      <c r="F51" t="s">
        <v>22</v>
      </c>
      <c r="H51" s="1"/>
      <c r="I51" s="1"/>
      <c r="N51">
        <f>IF(ISBLANK(Merge3[[#This Row],[Rückgabe am]]),0,Merge3[[#This Row],[Netto-Kaufpreis]])</f>
        <v>0</v>
      </c>
    </row>
    <row r="52" spans="1:14" x14ac:dyDescent="0.3">
      <c r="A52" t="s">
        <v>53</v>
      </c>
      <c r="B52" t="s">
        <v>29</v>
      </c>
      <c r="C52" t="s">
        <v>30</v>
      </c>
      <c r="D52" s="1">
        <v>44713</v>
      </c>
      <c r="E52">
        <v>968.43</v>
      </c>
      <c r="F52" t="s">
        <v>10</v>
      </c>
      <c r="H52" s="1"/>
      <c r="I52" s="1"/>
      <c r="N52">
        <f>IF(ISBLANK(Merge3[[#This Row],[Rückgabe am]]),0,Merge3[[#This Row],[Netto-Kaufpreis]])</f>
        <v>0</v>
      </c>
    </row>
    <row r="53" spans="1:14" x14ac:dyDescent="0.3">
      <c r="A53" t="s">
        <v>59</v>
      </c>
      <c r="B53" t="s">
        <v>42</v>
      </c>
      <c r="C53" t="s">
        <v>43</v>
      </c>
      <c r="D53" s="1">
        <v>44363</v>
      </c>
      <c r="E53">
        <v>1748.56</v>
      </c>
      <c r="F53" t="s">
        <v>6</v>
      </c>
      <c r="H53" s="1"/>
      <c r="I53" s="1"/>
      <c r="N53">
        <f>IF(ISBLANK(Merge3[[#This Row],[Rückgabe am]]),0,Merge3[[#This Row],[Netto-Kaufpreis]])</f>
        <v>0</v>
      </c>
    </row>
    <row r="54" spans="1:14" x14ac:dyDescent="0.3">
      <c r="A54" t="s">
        <v>61</v>
      </c>
      <c r="B54" t="s">
        <v>39</v>
      </c>
      <c r="C54" t="s">
        <v>62</v>
      </c>
      <c r="D54" s="1">
        <v>44429</v>
      </c>
      <c r="E54">
        <v>737.57</v>
      </c>
      <c r="F54" t="s">
        <v>10</v>
      </c>
      <c r="H54" s="1"/>
      <c r="I54" s="1"/>
      <c r="N54">
        <f>IF(ISBLANK(Merge3[[#This Row],[Rückgabe am]]),0,Merge3[[#This Row],[Netto-Kaufpreis]])</f>
        <v>0</v>
      </c>
    </row>
    <row r="55" spans="1:14" x14ac:dyDescent="0.3">
      <c r="A55" t="s">
        <v>63</v>
      </c>
      <c r="B55" t="s">
        <v>42</v>
      </c>
      <c r="C55" t="s">
        <v>43</v>
      </c>
      <c r="D55" s="1">
        <v>45297</v>
      </c>
      <c r="E55">
        <v>740.2</v>
      </c>
      <c r="F55" t="s">
        <v>22</v>
      </c>
      <c r="H55" s="1"/>
      <c r="I55" s="1"/>
      <c r="N55">
        <f>IF(ISBLANK(Merge3[[#This Row],[Rückgabe am]]),0,Merge3[[#This Row],[Netto-Kaufpreis]])</f>
        <v>0</v>
      </c>
    </row>
    <row r="56" spans="1:14" x14ac:dyDescent="0.3">
      <c r="A56" t="s">
        <v>68</v>
      </c>
      <c r="B56" t="s">
        <v>39</v>
      </c>
      <c r="C56" t="s">
        <v>40</v>
      </c>
      <c r="D56" s="1">
        <v>45249</v>
      </c>
      <c r="E56">
        <v>1335.34</v>
      </c>
      <c r="F56" t="s">
        <v>10</v>
      </c>
      <c r="H56" s="1"/>
      <c r="I56" s="1"/>
      <c r="N56">
        <f>IF(ISBLANK(Merge3[[#This Row],[Rückgabe am]]),0,Merge3[[#This Row],[Netto-Kaufpreis]])</f>
        <v>0</v>
      </c>
    </row>
    <row r="57" spans="1:14" x14ac:dyDescent="0.3">
      <c r="A57" t="s">
        <v>72</v>
      </c>
      <c r="B57" t="s">
        <v>36</v>
      </c>
      <c r="C57" t="s">
        <v>37</v>
      </c>
      <c r="D57" s="1">
        <v>45219</v>
      </c>
      <c r="E57">
        <v>1403.91</v>
      </c>
      <c r="F57" t="s">
        <v>10</v>
      </c>
      <c r="H57" s="1"/>
      <c r="I57" s="1"/>
      <c r="N57">
        <f>IF(ISBLANK(Merge3[[#This Row],[Rückgabe am]]),0,Merge3[[#This Row],[Netto-Kaufpreis]])</f>
        <v>0</v>
      </c>
    </row>
    <row r="58" spans="1:14" x14ac:dyDescent="0.3">
      <c r="A58" t="s">
        <v>82</v>
      </c>
      <c r="B58" t="s">
        <v>42</v>
      </c>
      <c r="C58" t="s">
        <v>43</v>
      </c>
      <c r="D58" s="1">
        <v>45552</v>
      </c>
      <c r="E58">
        <v>1746.67</v>
      </c>
      <c r="F58" t="s">
        <v>10</v>
      </c>
      <c r="H58" s="1"/>
      <c r="I58" s="1"/>
      <c r="N58">
        <f>IF(ISBLANK(Merge3[[#This Row],[Rückgabe am]]),0,Merge3[[#This Row],[Netto-Kaufpreis]])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1329-69E3-466F-93B4-7660FC4167F3}">
  <dimension ref="A1:B4"/>
  <sheetViews>
    <sheetView workbookViewId="0"/>
  </sheetViews>
  <sheetFormatPr defaultRowHeight="14.4" x14ac:dyDescent="0.3"/>
  <cols>
    <col min="1" max="1" width="20.44140625" bestFit="1" customWidth="1"/>
    <col min="2" max="2" width="15.5546875" bestFit="1" customWidth="1"/>
  </cols>
  <sheetData>
    <row r="1" spans="1:2" x14ac:dyDescent="0.3">
      <c r="A1" s="3" t="s">
        <v>85</v>
      </c>
      <c r="B1" t="s">
        <v>90</v>
      </c>
    </row>
    <row r="3" spans="1:2" x14ac:dyDescent="0.3">
      <c r="A3" t="s">
        <v>89</v>
      </c>
    </row>
    <row r="4" spans="1:2" x14ac:dyDescent="0.3">
      <c r="A4" s="2">
        <v>38121.560000000005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4EC3-517F-41FF-919B-1FACFC981F55}">
  <dimension ref="A1:L13"/>
  <sheetViews>
    <sheetView workbookViewId="0">
      <selection activeCell="K22" sqref="K22"/>
    </sheetView>
  </sheetViews>
  <sheetFormatPr defaultRowHeight="14.4" x14ac:dyDescent="0.3"/>
  <cols>
    <col min="1" max="1" width="16" bestFit="1" customWidth="1"/>
    <col min="2" max="2" width="11.5546875" bestFit="1" customWidth="1"/>
    <col min="3" max="3" width="14.44140625" bestFit="1" customWidth="1"/>
    <col min="4" max="4" width="12.33203125" bestFit="1" customWidth="1"/>
    <col min="5" max="5" width="16.5546875" bestFit="1" customWidth="1"/>
    <col min="6" max="6" width="10.44140625" bestFit="1" customWidth="1"/>
    <col min="7" max="7" width="15" bestFit="1" customWidth="1"/>
    <col min="8" max="8" width="13.21875" bestFit="1" customWidth="1"/>
    <col min="9" max="9" width="14.33203125" bestFit="1" customWidth="1"/>
    <col min="10" max="10" width="17.5546875" bestFit="1" customWidth="1"/>
    <col min="11" max="11" width="11.109375" bestFit="1" customWidth="1"/>
    <col min="12" max="12" width="12" bestFit="1" customWidth="1"/>
  </cols>
  <sheetData>
    <row r="1" spans="1:12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3</v>
      </c>
      <c r="G1" t="s">
        <v>0</v>
      </c>
      <c r="H1" t="s">
        <v>84</v>
      </c>
      <c r="I1" t="s">
        <v>85</v>
      </c>
      <c r="J1" t="s">
        <v>1</v>
      </c>
      <c r="K1" t="s">
        <v>2</v>
      </c>
      <c r="L1" t="s">
        <v>86</v>
      </c>
    </row>
    <row r="2" spans="1:12" x14ac:dyDescent="0.3">
      <c r="A2" s="2" t="s">
        <v>49</v>
      </c>
      <c r="B2" s="2" t="s">
        <v>36</v>
      </c>
      <c r="C2" s="2" t="s">
        <v>37</v>
      </c>
      <c r="D2" s="1">
        <v>45026</v>
      </c>
      <c r="E2">
        <v>1458.02</v>
      </c>
      <c r="F2" s="2" t="s">
        <v>22</v>
      </c>
      <c r="G2">
        <v>1011</v>
      </c>
      <c r="H2" s="1">
        <v>45850</v>
      </c>
      <c r="I2" s="1">
        <v>45853</v>
      </c>
      <c r="J2" s="2" t="s">
        <v>20</v>
      </c>
      <c r="K2" s="2" t="s">
        <v>5</v>
      </c>
      <c r="L2" s="2" t="s">
        <v>10</v>
      </c>
    </row>
    <row r="3" spans="1:12" x14ac:dyDescent="0.3">
      <c r="A3" s="2" t="s">
        <v>44</v>
      </c>
      <c r="B3" s="2" t="s">
        <v>36</v>
      </c>
      <c r="C3" s="2" t="s">
        <v>45</v>
      </c>
      <c r="D3" s="1">
        <v>44360</v>
      </c>
      <c r="E3">
        <v>869.09</v>
      </c>
      <c r="F3" s="2" t="s">
        <v>10</v>
      </c>
      <c r="G3">
        <v>1001</v>
      </c>
      <c r="H3" s="1">
        <v>45544</v>
      </c>
      <c r="I3" s="1">
        <v>45854</v>
      </c>
      <c r="J3" s="2" t="s">
        <v>4</v>
      </c>
      <c r="K3" s="2" t="s">
        <v>5</v>
      </c>
      <c r="L3" s="2" t="s">
        <v>6</v>
      </c>
    </row>
    <row r="4" spans="1:12" x14ac:dyDescent="0.3">
      <c r="A4" s="2" t="s">
        <v>44</v>
      </c>
      <c r="B4" s="2" t="s">
        <v>36</v>
      </c>
      <c r="C4" s="2" t="s">
        <v>45</v>
      </c>
      <c r="D4" s="1">
        <v>44360</v>
      </c>
      <c r="E4">
        <v>869.09</v>
      </c>
      <c r="F4" s="2" t="s">
        <v>10</v>
      </c>
      <c r="G4">
        <v>1001</v>
      </c>
      <c r="H4" s="1">
        <v>45880</v>
      </c>
      <c r="I4" s="1"/>
      <c r="J4" s="2" t="s">
        <v>4</v>
      </c>
      <c r="K4" s="2" t="s">
        <v>5</v>
      </c>
      <c r="L4" s="2" t="s">
        <v>6</v>
      </c>
    </row>
    <row r="5" spans="1:12" x14ac:dyDescent="0.3">
      <c r="A5" s="2" t="s">
        <v>55</v>
      </c>
      <c r="B5" s="2" t="s">
        <v>36</v>
      </c>
      <c r="C5" s="2" t="s">
        <v>45</v>
      </c>
      <c r="D5" s="1">
        <v>44258</v>
      </c>
      <c r="E5">
        <v>1415.97</v>
      </c>
      <c r="F5" s="2" t="s">
        <v>10</v>
      </c>
      <c r="G5">
        <v>1001</v>
      </c>
      <c r="H5" s="1">
        <v>45622</v>
      </c>
      <c r="I5" s="1">
        <v>45719</v>
      </c>
      <c r="J5" s="2" t="s">
        <v>4</v>
      </c>
      <c r="K5" s="2" t="s">
        <v>5</v>
      </c>
      <c r="L5" s="2" t="s">
        <v>6</v>
      </c>
    </row>
    <row r="6" spans="1:12" x14ac:dyDescent="0.3">
      <c r="A6" s="2" t="s">
        <v>35</v>
      </c>
      <c r="B6" s="2" t="s">
        <v>36</v>
      </c>
      <c r="C6" s="2" t="s">
        <v>37</v>
      </c>
      <c r="D6" s="1">
        <v>45782</v>
      </c>
      <c r="E6">
        <v>1007.88</v>
      </c>
      <c r="F6" s="2" t="s">
        <v>22</v>
      </c>
      <c r="G6">
        <v>1001</v>
      </c>
      <c r="H6" s="1">
        <v>45880</v>
      </c>
      <c r="I6" s="1">
        <v>45881</v>
      </c>
      <c r="J6" s="2" t="s">
        <v>4</v>
      </c>
      <c r="K6" s="2" t="s">
        <v>5</v>
      </c>
      <c r="L6" s="2" t="s">
        <v>6</v>
      </c>
    </row>
    <row r="7" spans="1:12" x14ac:dyDescent="0.3">
      <c r="A7" s="2" t="s">
        <v>75</v>
      </c>
      <c r="B7" s="2" t="s">
        <v>36</v>
      </c>
      <c r="C7" s="2" t="s">
        <v>45</v>
      </c>
      <c r="D7" s="1">
        <v>44337</v>
      </c>
      <c r="E7">
        <v>1553.15</v>
      </c>
      <c r="F7" s="2" t="s">
        <v>10</v>
      </c>
      <c r="G7">
        <v>1002</v>
      </c>
      <c r="H7" s="1">
        <v>45921</v>
      </c>
      <c r="I7" s="1">
        <v>45934</v>
      </c>
      <c r="J7" s="2" t="s">
        <v>7</v>
      </c>
      <c r="K7" s="2" t="s">
        <v>5</v>
      </c>
      <c r="L7" s="2" t="s">
        <v>6</v>
      </c>
    </row>
    <row r="8" spans="1:12" x14ac:dyDescent="0.3">
      <c r="A8" s="2" t="s">
        <v>77</v>
      </c>
      <c r="B8" s="2" t="s">
        <v>36</v>
      </c>
      <c r="C8" s="2" t="s">
        <v>78</v>
      </c>
      <c r="D8" s="1">
        <v>45775</v>
      </c>
      <c r="E8">
        <v>1095.6199999999999</v>
      </c>
      <c r="F8" s="2" t="s">
        <v>22</v>
      </c>
      <c r="G8">
        <v>1004</v>
      </c>
      <c r="H8" s="1">
        <v>45320</v>
      </c>
      <c r="I8" s="1"/>
      <c r="J8" s="2" t="s">
        <v>11</v>
      </c>
      <c r="K8" s="2" t="s">
        <v>12</v>
      </c>
      <c r="L8" s="2" t="s">
        <v>10</v>
      </c>
    </row>
    <row r="9" spans="1:12" x14ac:dyDescent="0.3">
      <c r="A9" s="2" t="s">
        <v>77</v>
      </c>
      <c r="B9" s="2" t="s">
        <v>36</v>
      </c>
      <c r="C9" s="2" t="s">
        <v>78</v>
      </c>
      <c r="D9" s="1">
        <v>45775</v>
      </c>
      <c r="E9">
        <v>1095.6199999999999</v>
      </c>
      <c r="F9" s="2" t="s">
        <v>22</v>
      </c>
      <c r="G9">
        <v>1004</v>
      </c>
      <c r="H9" s="1">
        <v>45336</v>
      </c>
      <c r="I9" s="1"/>
      <c r="J9" s="2" t="s">
        <v>11</v>
      </c>
      <c r="K9" s="2" t="s">
        <v>12</v>
      </c>
      <c r="L9" s="2" t="s">
        <v>10</v>
      </c>
    </row>
    <row r="10" spans="1:12" x14ac:dyDescent="0.3">
      <c r="A10" s="2" t="s">
        <v>35</v>
      </c>
      <c r="B10" s="2" t="s">
        <v>36</v>
      </c>
      <c r="C10" s="2" t="s">
        <v>37</v>
      </c>
      <c r="D10" s="1">
        <v>45782</v>
      </c>
      <c r="E10">
        <v>1007.88</v>
      </c>
      <c r="F10" s="2" t="s">
        <v>22</v>
      </c>
      <c r="G10">
        <v>1003</v>
      </c>
      <c r="H10" s="1">
        <v>45827</v>
      </c>
      <c r="I10" s="1">
        <v>45908</v>
      </c>
      <c r="J10" s="2" t="s">
        <v>8</v>
      </c>
      <c r="K10" s="2" t="s">
        <v>9</v>
      </c>
      <c r="L10" s="2" t="s">
        <v>10</v>
      </c>
    </row>
    <row r="11" spans="1:12" x14ac:dyDescent="0.3">
      <c r="A11" s="2" t="s">
        <v>79</v>
      </c>
      <c r="B11" s="2" t="s">
        <v>36</v>
      </c>
      <c r="C11" s="2" t="s">
        <v>45</v>
      </c>
      <c r="D11" s="1">
        <v>44876</v>
      </c>
      <c r="E11">
        <v>1801.36</v>
      </c>
      <c r="F11" s="2" t="s">
        <v>22</v>
      </c>
      <c r="G11">
        <v>1003</v>
      </c>
      <c r="H11" s="1">
        <v>45508</v>
      </c>
      <c r="I11" s="1">
        <v>45871</v>
      </c>
      <c r="J11" s="2" t="s">
        <v>8</v>
      </c>
      <c r="K11" s="2" t="s">
        <v>9</v>
      </c>
      <c r="L11" s="2" t="s">
        <v>10</v>
      </c>
    </row>
    <row r="12" spans="1:12" x14ac:dyDescent="0.3">
      <c r="A12" s="2" t="s">
        <v>50</v>
      </c>
      <c r="B12" s="2" t="s">
        <v>36</v>
      </c>
      <c r="C12" s="2" t="s">
        <v>37</v>
      </c>
      <c r="D12" s="1">
        <v>45239</v>
      </c>
      <c r="E12">
        <v>1786.37</v>
      </c>
      <c r="F12" s="2" t="s">
        <v>22</v>
      </c>
      <c r="H12" s="1"/>
      <c r="I12" s="1"/>
      <c r="J12" s="2"/>
      <c r="K12" s="2"/>
      <c r="L12" s="2"/>
    </row>
    <row r="13" spans="1:12" x14ac:dyDescent="0.3">
      <c r="A13" s="2" t="s">
        <v>72</v>
      </c>
      <c r="B13" s="2" t="s">
        <v>36</v>
      </c>
      <c r="C13" s="2" t="s">
        <v>37</v>
      </c>
      <c r="D13" s="1">
        <v>45219</v>
      </c>
      <c r="E13">
        <v>1403.91</v>
      </c>
      <c r="F13" s="2" t="s">
        <v>10</v>
      </c>
      <c r="H13" s="1"/>
      <c r="I13" s="1"/>
      <c r="J13" s="2"/>
      <c r="K13" s="2"/>
      <c r="L13" s="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42BB-1CBF-4459-BB49-6CA0962011C6}">
  <dimension ref="A3:B10"/>
  <sheetViews>
    <sheetView workbookViewId="0">
      <selection activeCell="O23" sqref="O23"/>
    </sheetView>
  </sheetViews>
  <sheetFormatPr defaultRowHeight="14.4" x14ac:dyDescent="0.3"/>
  <cols>
    <col min="1" max="1" width="12.44140625" bestFit="1" customWidth="1"/>
    <col min="2" max="2" width="6.5546875" bestFit="1" customWidth="1"/>
  </cols>
  <sheetData>
    <row r="3" spans="1:2" x14ac:dyDescent="0.3">
      <c r="A3" s="3" t="s">
        <v>91</v>
      </c>
      <c r="B3" t="s">
        <v>93</v>
      </c>
    </row>
    <row r="4" spans="1:2" x14ac:dyDescent="0.3">
      <c r="A4" s="4" t="s">
        <v>47</v>
      </c>
      <c r="B4" s="2">
        <v>13</v>
      </c>
    </row>
    <row r="5" spans="1:2" x14ac:dyDescent="0.3">
      <c r="A5" s="4" t="s">
        <v>39</v>
      </c>
      <c r="B5" s="2">
        <v>14</v>
      </c>
    </row>
    <row r="6" spans="1:2" x14ac:dyDescent="0.3">
      <c r="A6" s="4" t="s">
        <v>36</v>
      </c>
      <c r="B6" s="2">
        <v>12</v>
      </c>
    </row>
    <row r="7" spans="1:2" x14ac:dyDescent="0.3">
      <c r="A7" s="4" t="s">
        <v>65</v>
      </c>
      <c r="B7" s="2">
        <v>4</v>
      </c>
    </row>
    <row r="8" spans="1:2" x14ac:dyDescent="0.3">
      <c r="A8" s="4" t="s">
        <v>42</v>
      </c>
      <c r="B8" s="2">
        <v>7</v>
      </c>
    </row>
    <row r="9" spans="1:2" x14ac:dyDescent="0.3">
      <c r="A9" s="4" t="s">
        <v>29</v>
      </c>
      <c r="B9" s="2">
        <v>7</v>
      </c>
    </row>
    <row r="10" spans="1:2" x14ac:dyDescent="0.3">
      <c r="A10" s="4" t="s">
        <v>92</v>
      </c>
      <c r="B10" s="2">
        <v>57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E57A-FE95-4F1F-9CAA-E2C5161F0008}">
  <dimension ref="A3:E11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8.6640625" bestFit="1" customWidth="1"/>
    <col min="4" max="4" width="8.44140625" bestFit="1" customWidth="1"/>
    <col min="5" max="5" width="10.5546875" bestFit="1" customWidth="1"/>
  </cols>
  <sheetData>
    <row r="3" spans="1:5" x14ac:dyDescent="0.3">
      <c r="A3" s="3" t="s">
        <v>93</v>
      </c>
      <c r="B3" s="3" t="s">
        <v>94</v>
      </c>
    </row>
    <row r="4" spans="1:5" x14ac:dyDescent="0.3">
      <c r="A4" s="3" t="s">
        <v>91</v>
      </c>
      <c r="B4" t="s">
        <v>6</v>
      </c>
      <c r="C4" t="s">
        <v>10</v>
      </c>
      <c r="D4" t="s">
        <v>22</v>
      </c>
      <c r="E4" t="s">
        <v>92</v>
      </c>
    </row>
    <row r="5" spans="1:5" x14ac:dyDescent="0.3">
      <c r="A5" s="4" t="s">
        <v>47</v>
      </c>
      <c r="B5" s="2">
        <v>7</v>
      </c>
      <c r="C5" s="2">
        <v>4</v>
      </c>
      <c r="D5" s="2">
        <v>2</v>
      </c>
      <c r="E5" s="2">
        <v>13</v>
      </c>
    </row>
    <row r="6" spans="1:5" x14ac:dyDescent="0.3">
      <c r="A6" s="4" t="s">
        <v>39</v>
      </c>
      <c r="B6" s="2">
        <v>9</v>
      </c>
      <c r="C6" s="2">
        <v>4</v>
      </c>
      <c r="D6" s="2">
        <v>1</v>
      </c>
      <c r="E6" s="2">
        <v>14</v>
      </c>
    </row>
    <row r="7" spans="1:5" x14ac:dyDescent="0.3">
      <c r="A7" s="4" t="s">
        <v>36</v>
      </c>
      <c r="B7" s="2"/>
      <c r="C7" s="2">
        <v>5</v>
      </c>
      <c r="D7" s="2">
        <v>7</v>
      </c>
      <c r="E7" s="2">
        <v>12</v>
      </c>
    </row>
    <row r="8" spans="1:5" x14ac:dyDescent="0.3">
      <c r="A8" s="4" t="s">
        <v>65</v>
      </c>
      <c r="B8" s="2">
        <v>2</v>
      </c>
      <c r="C8" s="2"/>
      <c r="D8" s="2">
        <v>2</v>
      </c>
      <c r="E8" s="2">
        <v>4</v>
      </c>
    </row>
    <row r="9" spans="1:5" x14ac:dyDescent="0.3">
      <c r="A9" s="4" t="s">
        <v>42</v>
      </c>
      <c r="B9" s="2">
        <v>1</v>
      </c>
      <c r="C9" s="2">
        <v>1</v>
      </c>
      <c r="D9" s="2">
        <v>5</v>
      </c>
      <c r="E9" s="2">
        <v>7</v>
      </c>
    </row>
    <row r="10" spans="1:5" x14ac:dyDescent="0.3">
      <c r="A10" s="4" t="s">
        <v>29</v>
      </c>
      <c r="B10" s="2">
        <v>1</v>
      </c>
      <c r="C10" s="2">
        <v>3</v>
      </c>
      <c r="D10" s="2">
        <v>3</v>
      </c>
      <c r="E10" s="2">
        <v>7</v>
      </c>
    </row>
    <row r="11" spans="1:5" x14ac:dyDescent="0.3">
      <c r="A11" s="4" t="s">
        <v>92</v>
      </c>
      <c r="B11" s="2">
        <v>20</v>
      </c>
      <c r="C11" s="2">
        <v>17</v>
      </c>
      <c r="D11" s="2">
        <v>20</v>
      </c>
      <c r="E11" s="2">
        <v>57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63AD9A-9F87-43F6-B101-3571843457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Mitarbeiter</vt:lpstr>
      <vt:lpstr>Geraete</vt:lpstr>
      <vt:lpstr>Ausleihen</vt:lpstr>
      <vt:lpstr>A3a</vt:lpstr>
      <vt:lpstr>A3b</vt:lpstr>
      <vt:lpstr>A3c</vt:lpstr>
      <vt:lpstr>A4a</vt:lpstr>
      <vt:lpstr>A4b</vt:lpstr>
      <vt:lpstr>A4c</vt:lpstr>
      <vt:lpstr>A4d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Smereczynska</dc:creator>
  <cp:lastModifiedBy>Maja Smereczyńska</cp:lastModifiedBy>
  <dcterms:created xsi:type="dcterms:W3CDTF">2025-11-08T08:51:46Z</dcterms:created>
  <dcterms:modified xsi:type="dcterms:W3CDTF">2025-11-08T14:27:13Z</dcterms:modified>
</cp:coreProperties>
</file>